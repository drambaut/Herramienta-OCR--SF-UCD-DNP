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fileSharing readOnlyRecommended="1" userName="Sandra Janneth Laserna Rios" algorithmName="SHA-512" hashValue="5P9opdToV2L06pXnuxhQUvHE3VLQMgWmdXXNjdd+t+OLhM63uQxZOiasT3wAifmJNXo6grYTJt7G+kkW/Wj2Sw==" saltValue="DLjia9F/iiB/Qi6lX6wYhw==" spinCount="100000"/>
  <workbookPr codeName="ThisWorkbook" defaultThemeVersion="124226"/>
  <mc:AlternateContent xmlns:mc="http://schemas.openxmlformats.org/markup-compatibility/2006">
    <mc:Choice Requires="x15">
      <x15ac:absPath xmlns:x15ac="http://schemas.microsoft.com/office/spreadsheetml/2010/11/ac" url="https://planeacionnacional-my.sharepoint.com/personal/slaserna_dnp_gov_co/Documents/BACKUP 2021 SAN/1- LIQUIDADORES/2026/"/>
    </mc:Choice>
  </mc:AlternateContent>
  <xr:revisionPtr revIDLastSave="0" documentId="8_{1CA3E423-3DC1-4219-BCD9-211A5E1D2CEE}" xr6:coauthVersionLast="47" xr6:coauthVersionMax="47" xr10:uidLastSave="{00000000-0000-0000-0000-000000000000}"/>
  <bookViews>
    <workbookView xWindow="-108" yWindow="-108" windowWidth="23256" windowHeight="12456" tabRatio="339" xr2:uid="{00000000-000D-0000-FFFF-FFFF00000000}"/>
  </bookViews>
  <sheets>
    <sheet name="RT-Cto1" sheetId="1" r:id="rId1"/>
  </sheets>
  <definedNames>
    <definedName name="_xlnm.Print_Area" localSheetId="0">'RT-Cto1'!$A$3:$BC$61</definedName>
    <definedName name="_xlnm.Print_Titles" localSheetId="0">'RT-Cto1'!$A:$A</definedName>
    <definedName name="Z_9B36FABE_C330_460C_9325_9D02E13CC548_.wvu.PrintArea" localSheetId="0" hidden="1">'RT-Cto1'!$A:$BB</definedName>
    <definedName name="Z_9B36FABE_C330_460C_9325_9D02E13CC548_.wvu.PrintTitles" localSheetId="0" hidden="1">'RT-Cto1'!$A:$A</definedName>
  </definedNames>
  <calcPr calcId="191029"/>
  <customWorkbookViews>
    <customWorkbookView name="Luz Marina Quintanilla Paramo - Vista personalizada" guid="{9B36FABE-C330-460C-9325-9D02E13CC548}" autoUpdate="1" mergeInterval="5" personalView="1" maximized="1" xWindow="-8" yWindow="-8" windowWidth="1296" windowHeight="1000" tabRatio="33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7" i="1" l="1"/>
  <c r="M10" i="1"/>
  <c r="H19" i="1"/>
  <c r="H20" i="1"/>
  <c r="S40" i="1"/>
  <c r="N7" i="1"/>
  <c r="M7" i="1"/>
  <c r="H16" i="1"/>
  <c r="G16" i="1"/>
  <c r="E11" i="1"/>
  <c r="E10" i="1"/>
  <c r="M11" i="1"/>
  <c r="M9" i="1"/>
  <c r="E29" i="1"/>
  <c r="D28" i="1"/>
  <c r="E9" i="1"/>
  <c r="F6" i="1"/>
  <c r="F7" i="1"/>
  <c r="H7" i="1"/>
  <c r="K7" i="1"/>
  <c r="AB15" i="1"/>
  <c r="D51" i="1"/>
  <c r="BG49" i="1"/>
  <c r="H18" i="1"/>
  <c r="H26" i="1" s="1"/>
  <c r="D52" i="1" l="1"/>
  <c r="AA38" i="1"/>
  <c r="AM13" i="1"/>
  <c r="BE49" i="1" l="1"/>
  <c r="BF49" i="1"/>
  <c r="AD38" i="1"/>
  <c r="AO7" i="1"/>
  <c r="AQ7" i="1"/>
  <c r="AT38" i="1" s="1"/>
  <c r="AB16" i="1"/>
  <c r="AB9" i="1"/>
  <c r="AA39" i="1" l="1"/>
  <c r="AA40" i="1"/>
  <c r="AA41" i="1"/>
  <c r="AA42" i="1"/>
  <c r="AA43" i="1"/>
  <c r="AA44" i="1"/>
  <c r="AA45" i="1"/>
  <c r="AA46" i="1"/>
  <c r="AA47" i="1"/>
  <c r="AA48" i="1"/>
  <c r="AA49" i="1"/>
  <c r="AM14" i="1" l="1"/>
  <c r="AM15" i="1"/>
  <c r="B38" i="1"/>
  <c r="AS38" i="1"/>
  <c r="AR38" i="1"/>
  <c r="AP38" i="1"/>
  <c r="AQ38" i="1" s="1"/>
  <c r="AS49" i="1" l="1"/>
  <c r="AS48" i="1"/>
  <c r="AS47" i="1"/>
  <c r="AS46" i="1"/>
  <c r="AS45" i="1"/>
  <c r="AS44" i="1"/>
  <c r="AS43" i="1"/>
  <c r="AS42" i="1"/>
  <c r="AS41" i="1"/>
  <c r="AS40" i="1"/>
  <c r="AS39" i="1"/>
  <c r="AR49" i="1"/>
  <c r="AR48" i="1"/>
  <c r="AR47" i="1"/>
  <c r="AR46" i="1"/>
  <c r="AR45" i="1"/>
  <c r="AR44" i="1"/>
  <c r="AR43" i="1"/>
  <c r="AR42" i="1"/>
  <c r="AR41" i="1"/>
  <c r="AR40" i="1"/>
  <c r="AR39" i="1"/>
  <c r="AS51" i="1" l="1"/>
  <c r="AP15" i="1" s="1"/>
  <c r="AR51" i="1"/>
  <c r="AO15" i="1" s="1"/>
  <c r="AU38" i="1" l="1"/>
  <c r="AT47" i="1"/>
  <c r="AP16" i="1"/>
  <c r="AO16" i="1" l="1"/>
  <c r="AT43" i="1"/>
  <c r="AT41" i="1"/>
  <c r="AT45" i="1"/>
  <c r="AT48" i="1"/>
  <c r="AT40" i="1"/>
  <c r="AT44" i="1"/>
  <c r="AT46" i="1"/>
  <c r="AT49" i="1"/>
  <c r="AT39" i="1"/>
  <c r="AT42" i="1"/>
  <c r="AT51" i="1" l="1"/>
  <c r="AQ15" i="1" s="1"/>
  <c r="AQ16" i="1" s="1"/>
  <c r="AU39" i="1"/>
  <c r="AU40" i="1" s="1"/>
  <c r="AU41" i="1" s="1"/>
  <c r="AU42" i="1" s="1"/>
  <c r="AU43" i="1" s="1"/>
  <c r="AU44" i="1" s="1"/>
  <c r="AU45" i="1" s="1"/>
  <c r="AU46" i="1" s="1"/>
  <c r="AU47" i="1" s="1"/>
  <c r="AU48" i="1" s="1"/>
  <c r="AU49" i="1" s="1"/>
  <c r="C13" i="1" l="1"/>
  <c r="AP49" i="1" l="1"/>
  <c r="AP48" i="1"/>
  <c r="AP47" i="1"/>
  <c r="AP46" i="1"/>
  <c r="AP45" i="1"/>
  <c r="AP44" i="1"/>
  <c r="AP43" i="1"/>
  <c r="AP42" i="1"/>
  <c r="AP41" i="1"/>
  <c r="AP40" i="1"/>
  <c r="AP39" i="1"/>
  <c r="AB10" i="1" l="1" a="1"/>
  <c r="AB10" i="1" s="1"/>
  <c r="S38" i="1" l="1"/>
  <c r="S39" i="1" l="1"/>
  <c r="AB4" i="1"/>
  <c r="AC4" i="1"/>
  <c r="Y3" i="1" l="1"/>
  <c r="BE38" i="1"/>
  <c r="BE39" i="1"/>
  <c r="S41" i="1" l="1"/>
  <c r="H24" i="1"/>
  <c r="H23" i="1"/>
  <c r="AI13" i="1" l="1"/>
  <c r="AC16" i="1" l="1"/>
  <c r="AC15" i="1"/>
  <c r="AC9" i="1"/>
  <c r="B39" i="1" l="1"/>
  <c r="B40" i="1" l="1"/>
  <c r="B41" i="1" l="1"/>
  <c r="B42" i="1" l="1"/>
  <c r="BG38" i="1"/>
  <c r="BG39" i="1"/>
  <c r="BG40" i="1"/>
  <c r="BG41" i="1"/>
  <c r="BG42" i="1"/>
  <c r="BG43" i="1"/>
  <c r="BG44" i="1"/>
  <c r="BG45" i="1"/>
  <c r="BG46" i="1"/>
  <c r="BG47" i="1"/>
  <c r="BG48" i="1"/>
  <c r="BE40" i="1"/>
  <c r="BE41" i="1"/>
  <c r="BE45" i="1"/>
  <c r="BF38" i="1"/>
  <c r="BF40" i="1"/>
  <c r="BF42" i="1"/>
  <c r="BF44" i="1"/>
  <c r="BF46" i="1"/>
  <c r="BF48" i="1"/>
  <c r="BF41" i="1"/>
  <c r="BF45" i="1"/>
  <c r="BE42" i="1"/>
  <c r="BE44" i="1"/>
  <c r="BE46" i="1"/>
  <c r="BE48" i="1"/>
  <c r="B43" i="1" l="1"/>
  <c r="C43" i="1" s="1"/>
  <c r="E43" i="1" s="1"/>
  <c r="BE47" i="1"/>
  <c r="BE43" i="1"/>
  <c r="BF47" i="1"/>
  <c r="BF43" i="1"/>
  <c r="BF39" i="1"/>
  <c r="B44" i="1" l="1"/>
  <c r="C44" i="1" s="1"/>
  <c r="E44" i="1" s="1"/>
  <c r="B45" i="1" l="1"/>
  <c r="B46" i="1" l="1"/>
  <c r="C46" i="1" s="1"/>
  <c r="E46" i="1" s="1"/>
  <c r="B47" i="1" l="1"/>
  <c r="C47" i="1" s="1"/>
  <c r="E47" i="1" s="1"/>
  <c r="B48" i="1" l="1"/>
  <c r="B49" i="1" l="1"/>
  <c r="H25" i="1" l="1"/>
  <c r="H27" i="1" l="1"/>
  <c r="C38" i="1"/>
  <c r="C41" i="1"/>
  <c r="C39" i="1"/>
  <c r="C45" i="1" s="1"/>
  <c r="E45" i="1" s="1"/>
  <c r="AB46" i="1"/>
  <c r="E38" i="1" l="1"/>
  <c r="F38" i="1" s="1"/>
  <c r="E41" i="1"/>
  <c r="C48" i="1"/>
  <c r="E48" i="1" s="1"/>
  <c r="AB43" i="1"/>
  <c r="AD44" i="1"/>
  <c r="AD47" i="1"/>
  <c r="AD43" i="1"/>
  <c r="C40" i="1"/>
  <c r="AD46" i="1"/>
  <c r="AB44" i="1"/>
  <c r="AB47" i="1"/>
  <c r="E39" i="1"/>
  <c r="F39" i="1" s="1"/>
  <c r="F41" i="1" l="1"/>
  <c r="C42" i="1"/>
  <c r="E42" i="1" s="1"/>
  <c r="G38" i="1"/>
  <c r="H38" i="1"/>
  <c r="U38" i="1" s="1"/>
  <c r="L38" i="1"/>
  <c r="W38" i="1" s="1"/>
  <c r="AD48" i="1"/>
  <c r="AB39" i="1"/>
  <c r="AB38" i="1"/>
  <c r="E40" i="1"/>
  <c r="F40" i="1" s="1"/>
  <c r="C49" i="1" l="1"/>
  <c r="E49" i="1" s="1"/>
  <c r="AW48" i="1"/>
  <c r="AX48" i="1" s="1"/>
  <c r="AY48" i="1" s="1"/>
  <c r="L39" i="1"/>
  <c r="W39" i="1" s="1"/>
  <c r="H39" i="1"/>
  <c r="U39" i="1" s="1"/>
  <c r="G39" i="1"/>
  <c r="L40" i="1"/>
  <c r="AB40" i="1"/>
  <c r="I38" i="1"/>
  <c r="J38" i="1" s="1"/>
  <c r="V38" i="1" s="1"/>
  <c r="G40" i="1" l="1"/>
  <c r="AD40" i="1"/>
  <c r="AD41" i="1"/>
  <c r="G41" i="1"/>
  <c r="AB41" i="1"/>
  <c r="H40" i="1"/>
  <c r="AD4" i="1"/>
  <c r="H41" i="1" l="1"/>
  <c r="L41" i="1"/>
  <c r="I39" i="1"/>
  <c r="J39" i="1" s="1"/>
  <c r="V39" i="1" s="1"/>
  <c r="U40" i="1"/>
  <c r="AZ51" i="1"/>
  <c r="BA51" i="1"/>
  <c r="BB51" i="1"/>
  <c r="BD48" i="1" s="1"/>
  <c r="BC51" i="1"/>
  <c r="BD38" i="1"/>
  <c r="BD39" i="1"/>
  <c r="BD40" i="1"/>
  <c r="BD41" i="1"/>
  <c r="BD42" i="1"/>
  <c r="BD43" i="1"/>
  <c r="BD44" i="1"/>
  <c r="BD45" i="1"/>
  <c r="BD46" i="1"/>
  <c r="BD47" i="1"/>
  <c r="BD49" i="1"/>
  <c r="AD45" i="1" l="1"/>
  <c r="AB42" i="1"/>
  <c r="AD42" i="1"/>
  <c r="S42" i="1"/>
  <c r="W40" i="1"/>
  <c r="W41" i="1"/>
  <c r="U41" i="1"/>
  <c r="AB45" i="1"/>
  <c r="I40" i="1"/>
  <c r="J40" i="1" s="1"/>
  <c r="BD51" i="1"/>
  <c r="S43" i="1" l="1"/>
  <c r="F42" i="1"/>
  <c r="M39" i="1"/>
  <c r="AD39" i="1"/>
  <c r="I41" i="1"/>
  <c r="S44" i="1" l="1"/>
  <c r="F43" i="1"/>
  <c r="G42" i="1"/>
  <c r="I42" i="1" s="1"/>
  <c r="H42" i="1"/>
  <c r="L42" i="1"/>
  <c r="AD49" i="1"/>
  <c r="V40" i="1"/>
  <c r="M40" i="1"/>
  <c r="J41" i="1"/>
  <c r="F44" i="1" l="1"/>
  <c r="G44" i="1" s="1"/>
  <c r="S45" i="1"/>
  <c r="S46" i="1" s="1"/>
  <c r="F46" i="1" s="1"/>
  <c r="H46" i="1" s="1"/>
  <c r="G43" i="1"/>
  <c r="I43" i="1" s="1"/>
  <c r="H43" i="1"/>
  <c r="U43" i="1" s="1"/>
  <c r="L43" i="1"/>
  <c r="W43" i="1" s="1"/>
  <c r="W42" i="1"/>
  <c r="U42" i="1"/>
  <c r="AW49" i="1"/>
  <c r="AX49" i="1" s="1"/>
  <c r="AY49" i="1" s="1"/>
  <c r="V41" i="1"/>
  <c r="M41" i="1"/>
  <c r="J42" i="1"/>
  <c r="AC17" i="1"/>
  <c r="AB17" i="1"/>
  <c r="Z17" i="1"/>
  <c r="Z16" i="1"/>
  <c r="L44" i="1" l="1"/>
  <c r="W44" i="1" s="1"/>
  <c r="H44" i="1"/>
  <c r="L46" i="1"/>
  <c r="G46" i="1"/>
  <c r="F45" i="1"/>
  <c r="S47" i="1"/>
  <c r="U44" i="1"/>
  <c r="V42" i="1"/>
  <c r="M42" i="1"/>
  <c r="J43" i="1"/>
  <c r="I44" i="1"/>
  <c r="F47" i="1" l="1"/>
  <c r="S48" i="1"/>
  <c r="G45" i="1"/>
  <c r="I45" i="1" s="1"/>
  <c r="H45" i="1"/>
  <c r="L45" i="1"/>
  <c r="V43" i="1"/>
  <c r="M43" i="1"/>
  <c r="J44" i="1"/>
  <c r="U46" i="1" l="1"/>
  <c r="U45" i="1"/>
  <c r="W45" i="1"/>
  <c r="W46" i="1"/>
  <c r="F48" i="1"/>
  <c r="S49" i="1"/>
  <c r="F49" i="1" s="1"/>
  <c r="L47" i="1"/>
  <c r="W47" i="1" s="1"/>
  <c r="G47" i="1"/>
  <c r="H47" i="1"/>
  <c r="U47" i="1" s="1"/>
  <c r="V44" i="1"/>
  <c r="M44" i="1"/>
  <c r="J45" i="1"/>
  <c r="I46" i="1"/>
  <c r="H48" i="1" l="1"/>
  <c r="G48" i="1"/>
  <c r="L48" i="1"/>
  <c r="L49" i="1"/>
  <c r="G49" i="1"/>
  <c r="H49" i="1"/>
  <c r="V45" i="1"/>
  <c r="M45" i="1"/>
  <c r="J46" i="1"/>
  <c r="I47" i="1"/>
  <c r="W49" i="1" l="1"/>
  <c r="W48" i="1"/>
  <c r="U49" i="1"/>
  <c r="U48" i="1"/>
  <c r="V46" i="1"/>
  <c r="M46" i="1"/>
  <c r="J47" i="1"/>
  <c r="I48" i="1"/>
  <c r="V47" i="1" l="1"/>
  <c r="M47" i="1"/>
  <c r="I49" i="1"/>
  <c r="J48" i="1"/>
  <c r="AC51" i="1"/>
  <c r="V48" i="1" l="1"/>
  <c r="M48" i="1"/>
  <c r="J49" i="1"/>
  <c r="V49" i="1" l="1"/>
  <c r="M49" i="1"/>
  <c r="C51" i="1"/>
  <c r="M38" i="1" l="1"/>
  <c r="E51" i="1" l="1"/>
  <c r="E52" i="1" s="1"/>
  <c r="E54" i="1" s="1"/>
  <c r="F51" i="1" l="1"/>
  <c r="L51" i="1" l="1"/>
  <c r="H51" i="1"/>
  <c r="M51" i="1" l="1"/>
  <c r="J51" i="1"/>
  <c r="X38" i="1" l="1"/>
  <c r="AM38" i="1" l="1"/>
  <c r="AO38" i="1" s="1"/>
  <c r="X39" i="1"/>
  <c r="AQ39" i="1"/>
  <c r="AM39" i="1" l="1"/>
  <c r="AO39" i="1" s="1"/>
  <c r="AQ42" i="1" l="1"/>
  <c r="AQ47" i="1"/>
  <c r="AQ43" i="1"/>
  <c r="AQ45" i="1"/>
  <c r="AQ44" i="1"/>
  <c r="AQ46" i="1"/>
  <c r="AQ48" i="1"/>
  <c r="X47" i="1" l="1"/>
  <c r="X42" i="1"/>
  <c r="X43" i="1"/>
  <c r="X45" i="1"/>
  <c r="X46" i="1"/>
  <c r="X44" i="1"/>
  <c r="AM44" i="1" l="1"/>
  <c r="AM46" i="1"/>
  <c r="AO46" i="1" s="1"/>
  <c r="AM45" i="1"/>
  <c r="AO45" i="1" s="1"/>
  <c r="AM43" i="1"/>
  <c r="AO43" i="1" s="1"/>
  <c r="AM42" i="1"/>
  <c r="AO42" i="1" s="1"/>
  <c r="AM47" i="1"/>
  <c r="AO47" i="1" s="1"/>
  <c r="AO44" i="1"/>
  <c r="AQ41" i="1"/>
  <c r="X41" i="1" l="1"/>
  <c r="X40" i="1"/>
  <c r="AQ40" i="1"/>
  <c r="AM40" i="1" l="1"/>
  <c r="AM41" i="1"/>
  <c r="AO41" i="1" s="1"/>
  <c r="AO40" i="1" l="1"/>
  <c r="AB48" i="1" l="1"/>
  <c r="AC10" i="1" l="1" a="1"/>
  <c r="AC10" i="1" s="1"/>
  <c r="AB18" i="1" a="1"/>
  <c r="AB18" i="1" s="1"/>
  <c r="Y38" i="1" s="1"/>
  <c r="T51" i="1"/>
  <c r="X48" i="1"/>
  <c r="AC18" i="1" a="1"/>
  <c r="AC18" i="1" s="1"/>
  <c r="AM48" i="1" l="1"/>
  <c r="Z38" i="1"/>
  <c r="AB49" i="1"/>
  <c r="W51" i="1"/>
  <c r="V54" i="1" s="1"/>
  <c r="AB19" i="1"/>
  <c r="AQ49" i="1"/>
  <c r="AQ51" i="1" s="1"/>
  <c r="AP51" i="1"/>
  <c r="S54" i="1" s="1"/>
  <c r="V51" i="1"/>
  <c r="U52" i="1" s="1"/>
  <c r="AD51" i="1"/>
  <c r="AW38" i="1"/>
  <c r="AX38" i="1" s="1"/>
  <c r="U51" i="1"/>
  <c r="T52" i="1" s="1"/>
  <c r="AC19" i="1"/>
  <c r="X49" i="1"/>
  <c r="C27" i="1"/>
  <c r="S51" i="1"/>
  <c r="G31" i="1" s="1"/>
  <c r="H32" i="1" s="1"/>
  <c r="AM49" i="1" l="1"/>
  <c r="AO49" i="1" s="1"/>
  <c r="AE38" i="1"/>
  <c r="AF38" i="1" s="1"/>
  <c r="H31" i="1"/>
  <c r="S52" i="1"/>
  <c r="AB51" i="1"/>
  <c r="U54" i="1"/>
  <c r="V52" i="1"/>
  <c r="T54" i="1"/>
  <c r="Y39" i="1"/>
  <c r="Z39" i="1"/>
  <c r="Z40" i="1" s="1"/>
  <c r="X51" i="1"/>
  <c r="AO48" i="1"/>
  <c r="AW39" i="1" l="1"/>
  <c r="AX39" i="1" s="1"/>
  <c r="AG38" i="1"/>
  <c r="AE39" i="1"/>
  <c r="AF39" i="1" s="1"/>
  <c r="Y40" i="1"/>
  <c r="Z41" i="1"/>
  <c r="Z42" i="1" s="1"/>
  <c r="AM51" i="1"/>
  <c r="W52" i="1"/>
  <c r="W54" i="1"/>
  <c r="AO51" i="1"/>
  <c r="AW40" i="1" l="1"/>
  <c r="AX40" i="1" s="1"/>
  <c r="AH38" i="1"/>
  <c r="AG39" i="1"/>
  <c r="AH39" i="1" s="1"/>
  <c r="AI39" i="1" s="1"/>
  <c r="AE40" i="1"/>
  <c r="AF40" i="1" s="1"/>
  <c r="Y41" i="1"/>
  <c r="Z43" i="1"/>
  <c r="AI38" i="1" l="1"/>
  <c r="AJ38" i="1" s="1"/>
  <c r="AK38" i="1" s="1"/>
  <c r="AL38" i="1" s="1"/>
  <c r="AV38" i="1" s="1"/>
  <c r="AE41" i="1"/>
  <c r="AF41" i="1" s="1"/>
  <c r="AG41" i="1" s="1"/>
  <c r="AH41" i="1" s="1"/>
  <c r="AW41" i="1"/>
  <c r="AX41" i="1" s="1"/>
  <c r="AY38" i="1"/>
  <c r="AG40" i="1"/>
  <c r="AH40" i="1" s="1"/>
  <c r="Y42" i="1"/>
  <c r="Z44" i="1"/>
  <c r="Z45" i="1" s="1"/>
  <c r="AI40" i="1" l="1"/>
  <c r="AJ40" i="1" s="1"/>
  <c r="AK40" i="1" s="1"/>
  <c r="AL40" i="1" s="1"/>
  <c r="AI41" i="1"/>
  <c r="AE42" i="1"/>
  <c r="AF42" i="1" s="1"/>
  <c r="AG42" i="1" s="1"/>
  <c r="AH42" i="1" s="1"/>
  <c r="AW42" i="1"/>
  <c r="AX42" i="1" s="1"/>
  <c r="AJ39" i="1"/>
  <c r="AK39" i="1" s="1"/>
  <c r="AL39" i="1" s="1"/>
  <c r="AV39" i="1" s="1"/>
  <c r="AJ41" i="1"/>
  <c r="AK41" i="1" s="1"/>
  <c r="AL41" i="1" s="1"/>
  <c r="Y43" i="1"/>
  <c r="Z46" i="1"/>
  <c r="Z47" i="1" s="1"/>
  <c r="AI42" i="1" l="1"/>
  <c r="AY39" i="1"/>
  <c r="AE43" i="1"/>
  <c r="AF43" i="1" s="1"/>
  <c r="AG43" i="1" s="1"/>
  <c r="AH43" i="1" s="1"/>
  <c r="AW43" i="1"/>
  <c r="AX43" i="1" s="1"/>
  <c r="AV41" i="1"/>
  <c r="AY41" i="1"/>
  <c r="AV40" i="1"/>
  <c r="AY40" i="1"/>
  <c r="AJ42" i="1"/>
  <c r="AK42" i="1" s="1"/>
  <c r="Y44" i="1"/>
  <c r="Z48" i="1"/>
  <c r="AI43" i="1" l="1"/>
  <c r="AE44" i="1"/>
  <c r="AF44" i="1" s="1"/>
  <c r="AG44" i="1" s="1"/>
  <c r="AH44" i="1" s="1"/>
  <c r="AW44" i="1"/>
  <c r="AX44" i="1" s="1"/>
  <c r="AJ43" i="1"/>
  <c r="AL42" i="1"/>
  <c r="Y45" i="1"/>
  <c r="Z49" i="1"/>
  <c r="AI44" i="1" l="1"/>
  <c r="AJ44" i="1" s="1"/>
  <c r="AE45" i="1"/>
  <c r="AF45" i="1" s="1"/>
  <c r="AG45" i="1" s="1"/>
  <c r="AH45" i="1" s="1"/>
  <c r="AW45" i="1"/>
  <c r="AX45" i="1" s="1"/>
  <c r="AV42" i="1"/>
  <c r="AY42" i="1"/>
  <c r="AK43" i="1"/>
  <c r="AL43" i="1" s="1"/>
  <c r="Y46" i="1"/>
  <c r="Z51" i="1"/>
  <c r="AC20" i="1" s="1"/>
  <c r="AI45" i="1" l="1"/>
  <c r="AE46" i="1"/>
  <c r="AF46" i="1" s="1"/>
  <c r="AG46" i="1" s="1"/>
  <c r="AH46" i="1" s="1"/>
  <c r="AW46" i="1"/>
  <c r="AX46" i="1" s="1"/>
  <c r="AV43" i="1"/>
  <c r="AY43" i="1"/>
  <c r="AJ45" i="1"/>
  <c r="AK44" i="1"/>
  <c r="AL44" i="1" s="1"/>
  <c r="Y47" i="1"/>
  <c r="AI46" i="1" l="1"/>
  <c r="AE47" i="1"/>
  <c r="AF47" i="1" s="1"/>
  <c r="AG47" i="1" s="1"/>
  <c r="AH47" i="1" s="1"/>
  <c r="AW47" i="1"/>
  <c r="AX47" i="1" s="1"/>
  <c r="AV44" i="1"/>
  <c r="AY44" i="1"/>
  <c r="AJ46" i="1"/>
  <c r="AK45" i="1"/>
  <c r="AL45" i="1" s="1"/>
  <c r="Y48" i="1"/>
  <c r="AE48" i="1" l="1"/>
  <c r="AF48" i="1" s="1"/>
  <c r="AG48" i="1" s="1"/>
  <c r="AH48" i="1" s="1"/>
  <c r="AI47" i="1"/>
  <c r="AV45" i="1"/>
  <c r="AY45" i="1"/>
  <c r="AJ47" i="1"/>
  <c r="AK46" i="1"/>
  <c r="AL46" i="1" s="1"/>
  <c r="Y49" i="1"/>
  <c r="AE49" i="1" l="1"/>
  <c r="AF49" i="1" s="1"/>
  <c r="AG49" i="1" s="1"/>
  <c r="AH49" i="1" s="1"/>
  <c r="AI49" i="1" s="1"/>
  <c r="AI48" i="1"/>
  <c r="AV46" i="1"/>
  <c r="AY46" i="1"/>
  <c r="AJ48" i="1"/>
  <c r="AK48" i="1" s="1"/>
  <c r="AK47" i="1"/>
  <c r="AL47" i="1" s="1"/>
  <c r="AV47" i="1" l="1"/>
  <c r="AY47" i="1"/>
  <c r="AL48" i="1"/>
  <c r="AV48" i="1" s="1"/>
  <c r="Y51" i="1"/>
  <c r="AB20" i="1" s="1"/>
  <c r="AE51" i="1" l="1"/>
  <c r="AH51" i="1" l="1"/>
  <c r="AI51" i="1"/>
  <c r="AJ49" i="1"/>
  <c r="AK49" i="1" s="1"/>
  <c r="AJ52" i="1" l="1"/>
  <c r="AL49" i="1"/>
  <c r="AV49" i="1" s="1"/>
  <c r="AH52" i="1" l="1"/>
  <c r="AK52" i="1"/>
  <c r="AX52" i="1"/>
  <c r="AL51" i="1"/>
  <c r="AY51" i="1" l="1"/>
  <c r="AV5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<sst xmlns="http://schemas.openxmlformats.org/spreadsheetml/2006/main" count="362" uniqueCount="252">
  <si>
    <t>TOTAL</t>
  </si>
  <si>
    <t>Aporte</t>
  </si>
  <si>
    <t>%</t>
  </si>
  <si>
    <t>ARL</t>
  </si>
  <si>
    <t>Total Aportes</t>
  </si>
  <si>
    <t>Pensión</t>
  </si>
  <si>
    <t>Salud</t>
  </si>
  <si>
    <t>SMLMV</t>
  </si>
  <si>
    <t>Período</t>
  </si>
  <si>
    <t>Días</t>
  </si>
  <si>
    <t>IVA</t>
  </si>
  <si>
    <t>UVT</t>
  </si>
  <si>
    <t>Mensualizado</t>
  </si>
  <si>
    <t>INFORMACIÓN SOLICITADA</t>
  </si>
  <si>
    <t>Hasta</t>
  </si>
  <si>
    <t>Desde</t>
  </si>
  <si>
    <t>Del Mes</t>
  </si>
  <si>
    <t>No.</t>
  </si>
  <si>
    <t>Retención</t>
  </si>
  <si>
    <t>Pesos</t>
  </si>
  <si>
    <t>Deducible</t>
  </si>
  <si>
    <t>AFC o APV</t>
  </si>
  <si>
    <t>P.G. Mensualizado</t>
  </si>
  <si>
    <t>Base</t>
  </si>
  <si>
    <t>Nombre del Contratista</t>
  </si>
  <si>
    <t>CÁLCULOS</t>
  </si>
  <si>
    <t>Ingreso Mensualizado</t>
  </si>
  <si>
    <t>LIQUIDACIÓN PAGO</t>
  </si>
  <si>
    <t>Pago Gravable</t>
  </si>
  <si>
    <t>Orden de Pago</t>
  </si>
  <si>
    <t>Retención Renta Contingente</t>
  </si>
  <si>
    <t>Valor a Pagar</t>
  </si>
  <si>
    <t>LIQUIDACIÓN SEGURIDAD SOCIAL OBLIGATORIA</t>
  </si>
  <si>
    <t>Dependientes Económicos</t>
  </si>
  <si>
    <t>Pensionado o NO obligado a Cotizar Pensión</t>
  </si>
  <si>
    <t>Ingreso Base de Cotización</t>
  </si>
  <si>
    <t>Pago No.</t>
  </si>
  <si>
    <t>mreyes</t>
  </si>
  <si>
    <t>nacuna</t>
  </si>
  <si>
    <t>mbermudez</t>
  </si>
  <si>
    <t>Total</t>
  </si>
  <si>
    <t>Fecha</t>
  </si>
  <si>
    <t>Año</t>
  </si>
  <si>
    <t>Saldo</t>
  </si>
  <si>
    <t>Mensual</t>
  </si>
  <si>
    <t># Días</t>
  </si>
  <si>
    <t>IBC</t>
  </si>
  <si>
    <t>Porcentajes</t>
  </si>
  <si>
    <t>aejimenez</t>
  </si>
  <si>
    <t>Concepto</t>
  </si>
  <si>
    <t>Registro Contable</t>
  </si>
  <si>
    <t>Celda formulada y desbloqueada para ajuste de formulas y valores.</t>
  </si>
  <si>
    <t>Celda para ingreso de información.</t>
  </si>
  <si>
    <t>Fecha Inicial de Suspensión</t>
  </si>
  <si>
    <t>Fecha Final de Suspensión</t>
  </si>
  <si>
    <t>Días Suspendidos</t>
  </si>
  <si>
    <t>Duración Inicial del Contrato en Días</t>
  </si>
  <si>
    <t>Duración Final del Contrato en Días</t>
  </si>
  <si>
    <t>Intereses de Vivienda</t>
  </si>
  <si>
    <t>Gran Total Deducible</t>
  </si>
  <si>
    <t>Error.</t>
  </si>
  <si>
    <t>Cálculo de aportes sobre IBC &lt; 1 SML.</t>
  </si>
  <si>
    <t>Cálculo de aportes sobre IBC &gt; 25 SML.</t>
  </si>
  <si>
    <t>Falta información o información inconsistente.</t>
  </si>
  <si>
    <r>
      <t xml:space="preserve">Celda con mensajes informativos y/o celda formulada y bloqueada cuyo resultado se encuentra invisible hasta tanto se cumplan ciertas condiciones. </t>
    </r>
    <r>
      <rPr>
        <b/>
        <sz val="8"/>
        <rFont val="Arial Narrow"/>
        <family val="2"/>
      </rPr>
      <t>NO</t>
    </r>
    <r>
      <rPr>
        <sz val="8"/>
        <rFont val="Arial Narrow"/>
        <family val="2"/>
      </rPr>
      <t xml:space="preserve"> digitar en esta celda.</t>
    </r>
  </si>
  <si>
    <t>DATOS GENERALES Y DEPURACIÓN BASE DE RETENCIÓN</t>
  </si>
  <si>
    <r>
      <t>Valor Mensual del Contrato (</t>
    </r>
    <r>
      <rPr>
        <b/>
        <sz val="8"/>
        <color theme="1"/>
        <rFont val="Arial Narrow"/>
        <family val="2"/>
      </rPr>
      <t>SIN</t>
    </r>
    <r>
      <rPr>
        <sz val="8"/>
        <color theme="1"/>
        <rFont val="Arial Narrow"/>
        <family val="2"/>
      </rPr>
      <t xml:space="preserve"> IVA)</t>
    </r>
  </si>
  <si>
    <t>No. de Identificación y Contrato</t>
  </si>
  <si>
    <t>No. de Pagos y Valor Total del Contrato</t>
  </si>
  <si>
    <t>Información Utilizada para la Liquidación o Validación de Datos</t>
  </si>
  <si>
    <t>Formato Condicional
(Alertas)</t>
  </si>
  <si>
    <t>Formato Preestablecido</t>
  </si>
  <si>
    <t>Cedido</t>
  </si>
  <si>
    <t>Pagos Pendientes</t>
  </si>
  <si>
    <t>Saldo a Liberar</t>
  </si>
  <si>
    <t>PPTO</t>
  </si>
  <si>
    <t>Tablero de Notas y/o Apuntes</t>
  </si>
  <si>
    <r>
      <t>Aportes
(</t>
    </r>
    <r>
      <rPr>
        <b/>
        <sz val="8"/>
        <color theme="1"/>
        <rFont val="Arial Narrow"/>
        <family val="2"/>
      </rPr>
      <t>Sin Intereses de Mora</t>
    </r>
    <r>
      <rPr>
        <sz val="8"/>
        <color theme="1"/>
        <rFont val="Arial Narrow"/>
        <family val="2"/>
      </rPr>
      <t>)</t>
    </r>
  </si>
  <si>
    <t>Nacimiento</t>
  </si>
  <si>
    <t>Edad</t>
  </si>
  <si>
    <t>Solicitud</t>
  </si>
  <si>
    <r>
      <rPr>
        <sz val="8"/>
        <rFont val="Arial Narrow"/>
        <family val="2"/>
      </rPr>
      <t>Valor Pago 
(</t>
    </r>
    <r>
      <rPr>
        <b/>
        <sz val="8"/>
        <rFont val="Arial Narrow"/>
        <family val="2"/>
      </rPr>
      <t>SIN IVA</t>
    </r>
    <r>
      <rPr>
        <sz val="8"/>
        <rFont val="Arial Narrow"/>
        <family val="2"/>
      </rPr>
      <t>)</t>
    </r>
  </si>
  <si>
    <t>Exceso de Deducciones y/o Rentas Exentas</t>
  </si>
  <si>
    <t>Pagos por Salud</t>
  </si>
  <si>
    <t>Retención Renta 
(Art. 383 ET)</t>
  </si>
  <si>
    <t>Deducciones 
(Art. 387 ET)</t>
  </si>
  <si>
    <t>Rentas Exentas 
(Art. 126-1, 126-4 y 206 ET)</t>
  </si>
  <si>
    <t>I.N.C.R.N.G.O.
(Art. 55 y 56 ET)</t>
  </si>
  <si>
    <t>Significado de Colores de Relleno y Texto</t>
  </si>
  <si>
    <t>Fórmula diferente utilizada para calcular el IBC y los aportes con la regla de  aproximación de valores del Art 10 Decreto 1406/99.</t>
  </si>
  <si>
    <t>SEGURIDAD SOCIAL PRESENTADA SIN INTERESES DE MORA</t>
  </si>
  <si>
    <t>Fórmula ajustada.</t>
  </si>
  <si>
    <t>Ajuste de Retención Contingente o Reintegro de Retención. El Digitador debe realizar un trámite adicional.</t>
  </si>
  <si>
    <t>Procesos Ejecutivos</t>
  </si>
  <si>
    <t>Total deducido por procesos</t>
  </si>
  <si>
    <t>% Definifo</t>
  </si>
  <si>
    <t>Alimentos</t>
  </si>
  <si>
    <t>Exceda SMLMV</t>
  </si>
  <si>
    <t>Ejecutivo % Definido</t>
  </si>
  <si>
    <t>Fijación de Alimentos</t>
  </si>
  <si>
    <t>Ejecutivo -SMLMV</t>
  </si>
  <si>
    <t>Limite Medida</t>
  </si>
  <si>
    <t>Retenido</t>
  </si>
  <si>
    <t>Gran Total Retenido</t>
  </si>
  <si>
    <t>Uso Pptal</t>
  </si>
  <si>
    <t>FUENTE</t>
  </si>
  <si>
    <t>CODIGO RUBRO PRESUPUESTAL</t>
  </si>
  <si>
    <t>CODIGO USO PRESUPUESTAL</t>
  </si>
  <si>
    <t>DNP</t>
  </si>
  <si>
    <t>A-02-02-02-006-009 SERVICIOS DE DISTRIBUCIÓN DE ELECTRICIDAD, GAS Y AGUA (POR CUENTA PROPIA)</t>
  </si>
  <si>
    <t>N/A</t>
  </si>
  <si>
    <t>A-02-02-02-008-002 SERVICIOS JURÍDICOS Y CONTABLES</t>
  </si>
  <si>
    <t>A-02-01-01-006-002-03-2-02 GASTOS DE DESARROLLO</t>
  </si>
  <si>
    <t>SGR</t>
  </si>
  <si>
    <t>A-02-02-02-008-002-01 SERVICIOS JURÍDICOS</t>
  </si>
  <si>
    <t>A-02-02-02-006-003-01 SERVICIOS DE ALOJAMIENTO PARA ESTANCIAS CORTAS</t>
  </si>
  <si>
    <t>A-02-02-02-008-002-02 SERVICIOS DE CONTABILIDAD, AUDITORÍA Y TENEDURÍA DE LIBROS</t>
  </si>
  <si>
    <t>A-02-02-02-006-004 SERVICIOS DE TRANSPORTE DE PASAJEROS</t>
  </si>
  <si>
    <t>A-02-02-02-008-003 OTROS SERVICIOS PROFESIONALES, CIENTÍFICOS Y TÉCNICOS</t>
  </si>
  <si>
    <t>A-02-02-02-008-001-02 SERVICIOS DE INVESTIGACIÓN Y DESARROLLO EXPERIMENTAL EN CIENCIAS SOCIALES Y HUMANIDADES</t>
  </si>
  <si>
    <t>A-02-02-02-008-003-01-1 SERVICIOS DE CONSULTORÍA EN ADMINISTRACIÓN Y SERVICIOS DE GESTIÓN</t>
  </si>
  <si>
    <t>A-02-02-02-008-004 SERVICIOS DE TELECOMUNICACIONES, TRANSMISIÓN Y SUMINISTRO DE INFORMACIÓN</t>
  </si>
  <si>
    <t>A-02-02-02-008-009 OTROS SERVICIOS DE FABRICACIÓN; SERVICIOS DE EDICIÓN, IMPRESIÓN Y REPRODUCCIÓN; SERVICIOS DE RECUPERACIÓN DE MATERIALES</t>
  </si>
  <si>
    <t>A-02-02-02-008-003-01-2 SERVICIOS DE CONSULTORÍA PRESTADOS A LAS EMPRESAS</t>
  </si>
  <si>
    <t>C-0301-1000-16-0-0301003-02-01020 FORTALECIMIENTO ENTIDADES Y ACTIVIDADES</t>
  </si>
  <si>
    <t>A-02-02-02-008-003-01-3 SERVICIOS DE TECNOLOGÍA DE LA INFORMACIÓN (TI) DE CONSULTORÍA Y DE APOYO</t>
  </si>
  <si>
    <t>C-0301-1000-16-0-0301027-02-03000 GESTIÓN Y ADMINISTRACIÓN DEL PROGRAMA</t>
  </si>
  <si>
    <t>A-02-02-02-008-003-01-4 SERVICIOS DE DISEÑO Y DESARROLLO DE LA TECNOLOGÍA DE LA INFORMACIÓN (TI)</t>
  </si>
  <si>
    <t>C-0301-1000-17-0-0301024-02-300 AUDITORIA FINANCIERA</t>
  </si>
  <si>
    <t>A-02-02-02-008-003-01-6 SERVICIOS DE GESTIÓN DE RED E INFRAESTRUCTURA DE TI</t>
  </si>
  <si>
    <t>C-0301-1000-17-0-0301024-02-400 ADMINISTRACIÓN, SUPERVISIÓN Y EVALUACIONES</t>
  </si>
  <si>
    <t>A-02-02-02-008-003-06 SERVICIOS DE PUBLICIDAD Y EL SUMINISTRO DE ESPACIO O TIEMPO PUBLICITARIOS</t>
  </si>
  <si>
    <t>C-0301-1000-17-0-0301026-02-300 AUDITORIA FINANCIERA</t>
  </si>
  <si>
    <t>A-02-02-02-008-003-07 SERVICIOS DE INVESTIGACIÓN DE MERCADOS Y DE ENCUESTAS DE OPINIÓN PÚBLICA</t>
  </si>
  <si>
    <t>C-0301-1000-17-0-0301026-02-400 ADMINISTRACIÓN, SUPERVISIÓN Y EVALUACIONES</t>
  </si>
  <si>
    <t>A-02-02-02-008-003-08 SERVICIOS FOTOGRÁFICOS Y SERVICIOS DE REVELADO FOTOGRÁFICO</t>
  </si>
  <si>
    <t>C-0301-1000-21-0-0301001-02 ADQUISICIÓN DE BIENES Y SERVICIOS - DOCUMENTOS DE PLANEACIÓN - MEJORAMIENTO DE LA ARTICULACIÓN ENTRE NACIÓN - TERRITORIO PARA EL DESARROLLO TERRITORIAL Y LA GESTIÓN DE POLÍTICAS PÚBLICAS NACIONAL</t>
  </si>
  <si>
    <t>A-02-02-02-008-003-09 OTROS SERVICIOS PROFESIONALES Y TÉCNICOS N.C.P.</t>
  </si>
  <si>
    <t>C-0301-1000-21-0-0301002-02 ADQUISICIÓN DE BIENES Y SERVICIOS - DOCUMENTOS METODOLÓGICOS - MEJORAMIENTO DE LA ARTICULACIÓN ENTRE NACIÓN - TERRITORIO PARA EL DESARROLLO TERRITORIAL Y LA GESTIÓN DE POLÍTICAS PÚBLICAS NACIONAL</t>
  </si>
  <si>
    <t>A-02-02-02-008-004-03 SERVICIOS DE CONTENIDOS EN LÍNEA (ON-LINE)</t>
  </si>
  <si>
    <t>C-0301-1000-21-0-0301011-02 ADQUISICIÓN DE BIENES Y SERVICIOS - DOCUMENTOS DE POLÍTICA PÚBLICA - MEJORAMIENTO DE LA ARTICULACIÓN ENTRE NACIÓN - TERRITORIO PARA EL DESARROLLO TERRITORIAL Y LA GESTIÓN DE POLÍTICAS PÚBLICAS NACIONAL</t>
  </si>
  <si>
    <t>A-02-02-02-008-004-04 SERVICIOS DE AGENCIAS DE NOTICIAS</t>
  </si>
  <si>
    <t>C-0301-1000-21-0-0301027-02 ADQUISICIÓN DE BIENES Y SERVICIOS - SERVICIO DE ASISTENCIA TÉCNICA - MEJORAMIENTO DE LA ARTICULACIÓN ENTRE NACIÓN - TERRITORIO PARA EL DESARROLLO TERRITORIAL Y LA GESTIÓN DE POLÍTICAS PÚBLICAS NACIONAL</t>
  </si>
  <si>
    <t>A-02-02-02-008-004-06 SERVICIOS DE PROGRAMACIÓN, DISTRIBUCIÓN Y TRANSMISIÓN DE PROGRAMAS</t>
  </si>
  <si>
    <t>C-0301-1000-22-0-0301001-02-01012 FORTALECIMIENTO INSTITUCIONAL PARA EL GOBIERNO NACIONAL - BM</t>
  </si>
  <si>
    <t>A-02-02-02-008-005-09-6 SERVICIOS DE ORGANIZACIÓN Y ASISTENCIA DE CONVENCIONES Y FERIAS</t>
  </si>
  <si>
    <t>C-0301-1000-22-0-0301027-02-03041 GENERACIÓN Y FORTALECIMIENTO DE CAPACIDADES INSTITUCIONALES EN ENTIDADES TERRITORIALES - BID</t>
  </si>
  <si>
    <t>A-02-02-02-008-005-09-9 OTROS SERVICIOS DE APOYO Y DE INFORMACIÓN N.C.P.</t>
  </si>
  <si>
    <t>C-0301-1000-22-0-0301027-02-03042 GENERACIÓN Y FORTALECIMIENTO DE CAPACIDADES INSTITUCIONALES EN ENTIDADES TERRITORIALES - BM</t>
  </si>
  <si>
    <t>A-02-02-02-008-009-01 SERVICIOS DE EDICIÓN, IMPRESIÓN Y REPRODUCCIÓN</t>
  </si>
  <si>
    <t>C-0301-1000-22-0-0301027-02-04011 GESTIÓN Y COORDINACIÓN DEL PROYECTO DNP - BID</t>
  </si>
  <si>
    <t>A-02-02-02-010 VIÁTICOS DE LOS FUNCIONARIOS EN COMISIÓN</t>
  </si>
  <si>
    <t>C-0301-1000-22-0-0301027-02-04012 GESTIÓN Y COORDINACIÓN DEL PROYECTO DNP - BM</t>
  </si>
  <si>
    <t>C-0301-1000-23-0-0301008-02 ADQUISICIÓN DE BIENES Y SERVICIOS - SERVICIO DE SEGUIMIENTO A LA POLÍTICA PÚBLICA - FORTALECIMIENTO DEL SISTEMA NACIONAL DE EVALUACIÓN DE GESTIÓN Y RESULTADOS. NACIONAL</t>
  </si>
  <si>
    <t>A-02-02-02-008-002-03 SERVICIOS DE PREPARACIÓN Y ASESORAMIENTO TRIBUTARIO</t>
  </si>
  <si>
    <t>C-0301-1000-23-0-0301009-02 ADQUISICIÓN DE BIENES Y SERVICIOS - SERVICIO DE EVALUACIÓN A LA POLÍTICA PÚBLICA - FORTALECIMIENTO DEL SISTEMA NACIONAL DE EVALUACIÓN DE GESTIÓN Y RESULTADOS. NACIONAL</t>
  </si>
  <si>
    <t>C-0301-1000-26-0-0301001-02 ADQUISICIÓN DE BIENES Y SERVICIOS - DOCUMENTOS DE PLANEACIÓN - AMPLIACIÓN DE LAS CAPACIDADES EN EL DISEÑO Y SEGUIMIENTO DE POLÍTICAS, PARA EL DESARROLLO SECTORIAL NACIONAL</t>
  </si>
  <si>
    <t>C-0301-1000-26-0-0301003-02 ADQUISICIÓN DE BIENES Y SERVICIOS - DOCUMENTOS DE LINEAMIENTOS TÉCNICOS - AMPLIACIÓN DE LAS CAPACIDADES EN EL DISEÑO Y SEGUIMIENTO DE POLÍTICAS, PARA EL DESARROLLO SECTORIAL NACIONAL</t>
  </si>
  <si>
    <t>C-0301-1000-26-0-0301011-02 ADQUISICIÓN DE BIENES Y SERVICIOS - DOCUMENTOS DE POLÍTICA PÚBLICA - AMPLIACIÓN DE LAS CAPACIDADES EN EL DISEÑO Y SEGUIMIENTO DE POLÍTICAS, PARA EL DESARROLLO SECTORIAL NACIONAL</t>
  </si>
  <si>
    <t>C-0301-1000-26-0-0301014-02 ADQUISICIÓN DE BIENES Y SERVICIOS - DOCUMENTOS DE ANÁLISIS DE COYUNTURA Y PROSPECTIVA SECTORIAL - AMPLIACIÓN DE LAS CAPACIDADES EN EL DISEÑO Y SEGUIMIENTO DE POLÍTICAS, PARA EL DESARROLLO SECTORIAL NACIONAL</t>
  </si>
  <si>
    <t>C-0301-1000-27-0-0301002-02 ADQUISICIÓN DE BIENES Y SERVICIOS - DOCUMENTOS METODOLÓGICOS - FORTALECIMIENTO DE LA CALIDAD DE LA INVERSION PUBLICA NACIONAL</t>
  </si>
  <si>
    <t>C-0301-1000-27-0-0301022-02 ADQUISICIÓN DE BIENES Y SERVICIOS - SERVICIO DE APOYO PARA LA INTEGRACIÓN REGIONAL - FORTALECIMIENTO DE LA CALIDAD DE LA INVERSION PUBLICA NACIONAL</t>
  </si>
  <si>
    <t>C-0301-1000-27-0-0301025-02 ADQUISICIÓN DE BIENES Y SERVICIOS - SERVICIO DE INFORMACIÓN ACTUALIZADO - FORTALECIMIENTO DE LA CALIDAD DE LA INVERSION PUBLICA NACIONAL</t>
  </si>
  <si>
    <t>C-0301-1000-27-0-0301027-02 ADQUISICIÓN DE BIENES Y SERVICIOS - SERVICIO DE ASISTENCIA TÉCNICA - FORTALECIMIENTO DE LA CALIDAD DE LA INVERSION PUBLICA NACIONAL</t>
  </si>
  <si>
    <t>C-0301-1000-27-0-0301031-02 ADQUISICIÓN DE BIENES Y SERVICIOS - ESTUDIOS DE PREINVERSIÓN - FORTALECIMIENTO DE LA CALIDAD DE LA INVERSION PUBLICA NACIONAL</t>
  </si>
  <si>
    <t>C-0301-1000-28-0-0301003-02 ADQUISICIÓN DE BIENES Y SERVICIOS - DOCUMENTOS DE LINEAMIENTOS TÉCNICOS - DISENO Y ARTICULACION DE LOS INSTRUMENTOS, ESTRATEGIAS, LINEAMIENTOS Y DEMAS REQUERIMIENTOS TECNICOS PARA EL DESARROLLO Y FOCALIZACION DE LA POLITICA PUBLICA DE PROTECCION SOC</t>
  </si>
  <si>
    <t>C-0301-1000-28-0-0301011-02 ADQUISICIÓN DE BIENES Y SERVICIOS - DOCUMENTOS DE POLÍTICA PÚBLICA - DISENO Y ARTICULACION DE LOS INSTRUMENTOS, ESTRATEGIAS, LINEAMIENTOS Y DEMAS REQUERIMIENTOS TECNICOS PARA EL DESARROLLO Y FOCALIZACION DE LA POLITICA PUBLICA DE PROTECCION SOCIAL</t>
  </si>
  <si>
    <t>C-0301-1000-28-0-0301024-02 ADQUISICIÓN DE BIENES Y SERVICIOS - SERVICIO DE INFORMACIÓN IMPLEMENTADO - DISENO Y ARTICULACION DE LOS INSTRUMENTOS, ESTRATEGIAS, LINEAMIENTOS Y DEMAS REQUERIMIENTOS TECNICOS PARA EL DESARROLLO Y FOCALIZACION DE LA POLITICA PUBLICA DE PROTECCION SO</t>
  </si>
  <si>
    <t>C-0301-1000-28-0-0301025-02 ADQUISICIÓN DE BIENES Y SERVICIOS - SERVICIO DE INFORMACIÓN ACTUALIZADO - DISENO Y ARTICULACION DE LOS INSTRUMENTOS, ESTRATEGIAS, LINEAMIENTOS Y DEMAS REQUERIMIENTOS TECNICOS PARA EL DESARROLLO Y FOCALIZACION DE LA POLITICA PUBLICA DE PROTECCION SOC</t>
  </si>
  <si>
    <t>C-0301-1000-29-0-0301027-02 ADQUISICIÓN DE BIENES Y SERVICIOS - SERVICIO DE ASISTENCIA TÉCNICA - FORTALECIMIENTO DE POLITICAS Y ACCIONES DE LOGISTICA NACIONAL</t>
  </si>
  <si>
    <t>C-0301-1003-4-0-0301002-02 ADQUISICIÓN DE BIENES Y SERVICIOS - DOCUMENTOS METODOLÓGICOS - INCORPORACION DE EVIDENCIA, BUENAS PRACTICAS E INNOVACION PUBLICA EN LA ADMINISTRACION PUBLICA A NIVEL NACIONAL</t>
  </si>
  <si>
    <t>C-0301-1003-4-0-0301003-02 ADQUISICIÓN DE BIENES Y SERVICIOS - DOCUMENTOS DE LINEAMIENTOS TÉCNICOS - INCORPORACION DE EVIDENCIA, BUENAS PRACTICAS E INNOVACION PUBLICA EN LA ADMINISTRACION PUBLICA A NIVEL NACIONAL</t>
  </si>
  <si>
    <t>C-0301-1003-4-0-0301014-02 ADQUISICIÓN DE BIENES Y SERVICIOS - DOCUMENTOS DE ANÁLISIS DE COYUNTURA Y PROSPECTIVA SECTORIAL - INCORPORACION DE EVIDENCIA, BUENAS PRACTICAS E INNOVACION PUBLICA EN LA ADMINISTRACION PUBLICA A NIVEL NACIONAL</t>
  </si>
  <si>
    <t>C-0301-1003-4-0-0301025-02 ADQUISICIÓN DE BIENES Y SERVICIOS - SERVICIO DE INFORMACIÓN ACTUALIZADO - INCORPORACION DE EVIDENCIA, BUENAS PRACTICAS E INNOVACION PUBLICA EN LA ADMINISTRACION PUBLICA A NIVEL NACIONAL</t>
  </si>
  <si>
    <t>C-0301-1003-4-0-0301027-02 ADQUISICIÓN DE BIENES Y SERVICIOS - SERVICIO DE ASISTENCIA TÉCNICA - INCORPORACION DE EVIDENCIA, BUENAS PRACTICAS E INNOVACION PUBLICA EN LA ADMINISTRACION PUBLICA A NIVEL NACIONAL</t>
  </si>
  <si>
    <t>C-0399-1000-5-0-0399001-02 ADQUISICIÓN DE BIENES Y SERVICIOS - SERVICIOS DE INFORMACIÓN PARA LA GESTIÓN ADMINISTRATIVA - SERVICIO DE TECNOLOGÍA DE INFORMACIÓN Y COMUNICACIONES TIC CON DISPONIBILIDAD Y COBERTURA NACIONAL</t>
  </si>
  <si>
    <t>C-0399-1000-5-0-0399023-02 ADQUISICIÓN DE BIENES Y SERVICIOS - DOCUMENTOS DE LINEAMIENTOS TÉCNICOS - SERVICIO DE TECNOLOGÍA DE INFORMACIÓN Y COMUNICACIONES TIC CON DISPONIBILIDAD Y COBERTURA NACIONAL</t>
  </si>
  <si>
    <t>C-0399-1000-6-0-0399053-02 ADQUISICIÓN DE BIENES Y SERVICIOS - SERVICIO DE GESTIÓN DOCUMENTAL - FORTALECIMIENTO DE LA PLANEACIÓN Y LA GESTIÓN INSTITUCIONAL DEL DNP A NIVEL NACIONAL</t>
  </si>
  <si>
    <t>C-0399-1000-6-0-0399054-02 ADQUISICIÓN DE BIENES Y SERVICIOS - DOCUMENTOS DE LINEAMIENTOS TÉCNICOS - FORTALECIMIENTO DE LA PLANEACIÓN Y LA GESTIÓN INSTITUCIONAL DEL DNP A NIVEL NACIONAL</t>
  </si>
  <si>
    <t>C-0399-1000-6-0-0399055-02 ADQUISICIÓN DE BIENES Y SERVICIOS - DOCUMENTOS DE PLANEACIÓN - FORTALECIMIENTO DE LA PLANEACIÓN Y LA GESTIÓN INSTITUCIONAL DEL DNP A NIVEL NACIONAL</t>
  </si>
  <si>
    <t>C-0399-1000-6-0-0399056-02 ADQUISICIÓN DE BIENES Y SERVICIOS - DOCUMENTOS METODOLÓGICOS - FORTALECIMIENTO DE LA PLANEACIÓN Y LA GESTIÓN INSTITUCIONAL DEL DNP A NIVEL NACIONAL</t>
  </si>
  <si>
    <t>C-0399-1000-6-0-0399061-02 ADQUISICIÓN DE BIENES Y SERVICIOS - SERVICIO DE IMPLEMENTACIÓN SISTEMAS DE GESTIÓN - FORTALECIMIENTO DE LA PLANEACIÓN Y LA GESTIÓN INSTITUCIONAL DEL DNP A NIVEL NACIONAL</t>
  </si>
  <si>
    <t>C-0399-1000-6-0-0399063-02 ADQUISICIÓN DE BIENES Y SERVICIOS - SERVICIOS DE INFORMACIÓN ACTUALIZADOS - FORTALECIMIENTO DE LA PLANEACIÓN Y LA GESTIÓN INSTITUCIONAL DEL DNP A NIVEL NACIONAL</t>
  </si>
  <si>
    <t>C-0301-1000-30-0-0301003-02-4 GESTION Y ADMINISTRACION DEL PROGRAMA</t>
  </si>
  <si>
    <t>mserna</t>
  </si>
  <si>
    <t>Limite del 40%</t>
  </si>
  <si>
    <t>C-0301-1000-30-0-0301002-02-3 FORTALECIMIENTO TÉCNICO E INSTITUCIONAL DEL ORGANISMO EJECUTOR</t>
  </si>
  <si>
    <t>C-0301-1000-30-0-0301003-02-3 FORTALECIMIENTO TÉCNICO E INSTITUCIONAL DEL ORGANISMO EJECUTOR</t>
  </si>
  <si>
    <t>C-0301-1000-30-0-0301012-02-1 FOMENTO DE LA PARTICIPACIÓN PRIVADA</t>
  </si>
  <si>
    <t>C-0301-1000-30-0-0301012-02-3 FORTALECIMIENTO TÉCNICO E INSTITUCIONAL DEL ORGANISMO EJECUTOR</t>
  </si>
  <si>
    <t>C-0301-1000-30-0-0301031-02-3 FORTALECIMIENTO TÉCNICO E INSTITUCIONAL DEL ORGANISMO EJECUTOR</t>
  </si>
  <si>
    <t>C-0301-1000-33-0-0301003-02 ADQUISICIÓN DE BIENES Y SERVICIOS - DOCUMENTOS DE LINEAMIENTOS TÉCNICOS - FORTALECIMIENTO DEL CICLO DE LAS POLITICAS PUBLICAS SECTORIALES E INTERSECTORIALES PARA EL DESARROLLO NACIONAL</t>
  </si>
  <si>
    <t xml:space="preserve">C-0301-1000-36-0-0301041-02 ADQUISICIÓN DE BIENES Y SERVICIOS - SERVICIO DE COORDINACIÓN Y ARTICULACIÓN EN LA FORMULACIÓN DE INSTRUMENTOS DE PLANEACIÓN - FORTALECIMIENTO DE LA EFICIENCIA EN EL GASTO DE INVERSIÓN PÚBLICA TERRITORIAL Y NACIONAL </t>
  </si>
  <si>
    <t>C-0301-1000-36-0-0301022-02 ADQUISICIÓN DE BIENES Y SERVICIOS -SERVICIO DE APOYO PARA LA INTEGRACIÓN REGIONAL – FORTALECIMIENTO DE LA EFICIENCIA EN EL GASTO DE INVERSIÓN PÚBLICA TERRITORIAL Y NACIONA</t>
  </si>
  <si>
    <t>TIPO DTO</t>
  </si>
  <si>
    <t>N° DOCUMENTO</t>
  </si>
  <si>
    <t>Datos Dependiente</t>
  </si>
  <si>
    <t>ewgarzon</t>
  </si>
  <si>
    <t>eherrera</t>
  </si>
  <si>
    <t>Factura</t>
  </si>
  <si>
    <t>healfonso</t>
  </si>
  <si>
    <t>RP</t>
  </si>
  <si>
    <t>jomonsalve</t>
  </si>
  <si>
    <t>Regimen Simple de Tributación</t>
  </si>
  <si>
    <t>OBSERVACIONES CONTABILIDAD</t>
  </si>
  <si>
    <t>REVISOR N° 1</t>
  </si>
  <si>
    <t>FECHA DE REVISION</t>
  </si>
  <si>
    <t>REVISOR N° 2</t>
  </si>
  <si>
    <t>REVISOR N° 3</t>
  </si>
  <si>
    <t>Carpeta SISGESTION</t>
  </si>
  <si>
    <t>Turno SISGESTION</t>
  </si>
  <si>
    <t>Rubro Pptal</t>
  </si>
  <si>
    <t>Fecha INICIAL de Ejecución</t>
  </si>
  <si>
    <t>Fecha FINAL de Ejecución</t>
  </si>
  <si>
    <t>COMENTARIOS
CENTRAL DE CUENTAS</t>
  </si>
  <si>
    <t>Dependencia</t>
  </si>
  <si>
    <t>Supervisor</t>
  </si>
  <si>
    <t>Cargo Supervisor</t>
  </si>
  <si>
    <t>UNIDAD EJECUTORA</t>
  </si>
  <si>
    <t>Contador</t>
  </si>
  <si>
    <t>DOCUMENTOS PARA EL PRIMER PAGO:</t>
  </si>
  <si>
    <t>RUT (Responsable IVA / NO Respondable IVA)</t>
  </si>
  <si>
    <t>RIT (Opcional)</t>
  </si>
  <si>
    <t>PAGO DE SS / AFILIACIONES EPS, AFP y ARL</t>
  </si>
  <si>
    <t>Carta Disminución de Base de Retención (No Afiliaciones)</t>
  </si>
  <si>
    <t>Factura Electrónica (Si aplica)</t>
  </si>
  <si>
    <t>* Formatos para Beneficios Tributarios</t>
  </si>
  <si>
    <t>1- Dependientes</t>
  </si>
  <si>
    <t>2- Prepagada o Pólizas de salud</t>
  </si>
  <si>
    <t>3- Intereses crédito hipotecarios</t>
  </si>
  <si>
    <t>Curso SST</t>
  </si>
  <si>
    <t>OTROS PAGOS:</t>
  </si>
  <si>
    <t>PAGO DE SS</t>
  </si>
  <si>
    <t>Ingreso antes de IVA</t>
  </si>
  <si>
    <t>EMBARGOS</t>
  </si>
  <si>
    <t xml:space="preserve">      CENTRAL DE CUENTAS</t>
  </si>
  <si>
    <t xml:space="preserve">                                           Aportes</t>
  </si>
  <si>
    <t xml:space="preserve">             Retención IVA</t>
  </si>
  <si>
    <t xml:space="preserve">             Retención ICA</t>
  </si>
  <si>
    <t>Pagos según contrato</t>
  </si>
  <si>
    <t>BANCO</t>
  </si>
  <si>
    <t>No CUENTA</t>
  </si>
  <si>
    <t>TIPO</t>
  </si>
  <si>
    <t xml:space="preserve"> CENTRAL DE CUENTAS</t>
  </si>
  <si>
    <t xml:space="preserve"> CONTABILIDAD</t>
  </si>
  <si>
    <t xml:space="preserve">                 DILIGENCIA</t>
  </si>
  <si>
    <t>Valor Mensual del Contrato según clausulado</t>
  </si>
  <si>
    <t>Responsable CONTABILIDAD</t>
  </si>
  <si>
    <t>Nombre Rubro Presupuestal</t>
  </si>
  <si>
    <t>CDP</t>
  </si>
  <si>
    <t>Valor Diario (Prorrata) según Estudios Previos</t>
  </si>
  <si>
    <t>SEGURIDAD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</si>
</sst>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 #,##0;[Red]\-&quot;$&quot;\ #,##0"/>
    <numFmt numFmtId="43" formatCode="_-* #,##0.00_-;\-* #,##0.00_-;_-* &quot;-&quot;??_-;_-@_-"/>
    <numFmt numFmtId="164" formatCode="_(&quot;$&quot;\ * #,##0.00_);_(&quot;$&quot;\ * \(#,##0.00\);_(&quot;$&quot;\ * &quot;-&quot;??_);_(@_)"/>
    <numFmt numFmtId="165" formatCode="mmmm\-yyyy"/>
    <numFmt numFmtId="166" formatCode="0.0%"/>
    <numFmt numFmtId="167" formatCode="dd\-mmm\-yyyy"/>
    <numFmt numFmtId="168" formatCode="_ [$€-2]\ * #,##0.00_ ;_ [$€-2]\ * \-#,##0.00_ ;_ [$€-2]\ * &quot;-&quot;??_ "/>
    <numFmt numFmtId="169" formatCode="_ * #,##0.00_ ;_ * \-#,##0.00_ ;_ * &quot;-&quot;??_ ;_ @_ "/>
    <numFmt numFmtId="170" formatCode="_ &quot;$&quot;\ * #,##0.00_ ;_ &quot;$&quot;\ * \-#,##0.00_ ;_ &quot;$&quot;\ * &quot;-&quot;??_ ;_ @_ "/>
    <numFmt numFmtId="171" formatCode="0.000%"/>
    <numFmt numFmtId="172" formatCode="mmm\-yyyy"/>
    <numFmt numFmtId="173" formatCode="#,##0.000"/>
    <numFmt numFmtId="174" formatCode="#,##0.0000"/>
    <numFmt numFmtId="175" formatCode="#,##0;[Red]#,##0"/>
  </numFmts>
  <fonts count="23" x14ac:knownFonts="1">
    <font>
      <sz val="8"/>
      <color theme="1"/>
      <name val="Arial Narrow"/>
      <family val="2"/>
    </font>
    <font>
      <sz val="8"/>
      <color theme="1"/>
      <name val="Arial Narrow"/>
      <family val="2"/>
    </font>
    <font>
      <sz val="10"/>
      <name val="Arial"/>
      <family val="2"/>
    </font>
    <font>
      <sz val="11"/>
      <color theme="1"/>
      <name val="Calibri"/>
      <family val="2"/>
      <scheme val="minor"/>
    </font>
    <font>
      <sz val="8"/>
      <name val="Arial Narrow"/>
      <family val="2"/>
    </font>
    <font>
      <b/>
      <sz val="8"/>
      <color theme="1"/>
      <name val="Arial Narrow"/>
      <family val="2"/>
    </font>
    <font>
      <b/>
      <sz val="14"/>
      <name val="Arial Narrow"/>
      <family val="2"/>
    </font>
    <font>
      <b/>
      <sz val="8"/>
      <color rgb="FFFF0000"/>
      <name val="Arial Narrow"/>
      <family val="2"/>
    </font>
    <font>
      <b/>
      <sz val="8"/>
      <color rgb="FFFF0066"/>
      <name val="Arial Narrow"/>
      <family val="2"/>
    </font>
    <font>
      <b/>
      <sz val="8"/>
      <color theme="1"/>
      <name val="Arial Black"/>
      <family val="2"/>
    </font>
    <font>
      <sz val="8"/>
      <color theme="5" tint="-0.499984740745262"/>
      <name val="Arial Narrow"/>
      <family val="2"/>
    </font>
    <font>
      <b/>
      <sz val="8"/>
      <name val="Arial Narrow"/>
      <family val="2"/>
    </font>
    <font>
      <b/>
      <sz val="8"/>
      <color rgb="FF1207E9"/>
      <name val="Arial Narrow"/>
      <family val="2"/>
    </font>
    <font>
      <sz val="8"/>
      <color theme="2" tint="-0.499984740745262"/>
      <name val="Arial Narrow"/>
      <family val="2"/>
    </font>
    <font>
      <b/>
      <sz val="11"/>
      <name val="Arial Narrow"/>
      <family val="2"/>
    </font>
    <font>
      <sz val="11"/>
      <color rgb="FF000000"/>
      <name val="Calibri"/>
      <family val="2"/>
      <scheme val="minor"/>
    </font>
    <font>
      <sz val="9"/>
      <color rgb="FF000000"/>
      <name val="Calibri"/>
      <family val="2"/>
      <scheme val="minor"/>
    </font>
    <font>
      <sz val="8"/>
      <color rgb="FFFF0000"/>
      <name val="Arial Narrow"/>
      <family val="2"/>
    </font>
    <font>
      <b/>
      <sz val="11"/>
      <color rgb="FFFF0000"/>
      <name val="Calibri"/>
      <family val="2"/>
      <scheme val="minor"/>
    </font>
    <font>
      <sz val="11"/>
      <color rgb="FF000000"/>
      <name val="Calibri"/>
      <family val="2"/>
    </font>
    <font>
      <sz val="9"/>
      <color rgb="FF000000"/>
      <name val="Calibri"/>
      <family val="2"/>
    </font>
    <font>
      <sz val="10"/>
      <color rgb="FF000000"/>
      <name val="Calibri"/>
      <family val="2"/>
    </font>
    <font>
      <sz val="11"/>
      <name val="Calibri"/>
      <family val="2"/>
    </font>
  </fonts>
  <fills count="24">
    <fill>
      <patternFill patternType="none"/>
    </fill>
    <fill>
      <patternFill patternType="gray125"/>
    </fill>
    <fill>
      <patternFill patternType="solid">
        <fgColor rgb="FFFFFFCC"/>
        <bgColor indexed="64"/>
      </patternFill>
    </fill>
    <fill>
      <patternFill patternType="solid">
        <fgColor theme="8" tint="0.79998168889431442"/>
        <bgColor indexed="64"/>
      </patternFill>
    </fill>
    <fill>
      <gradientFill degree="90">
        <stop position="0">
          <color theme="0"/>
        </stop>
        <stop position="1">
          <color theme="0" tint="-0.25098422193060094"/>
        </stop>
      </gradientFill>
    </fill>
    <fill>
      <patternFill patternType="solid">
        <fgColor rgb="FFFFFF00"/>
        <bgColor indexed="64"/>
      </patternFill>
    </fill>
    <fill>
      <patternFill patternType="lightTrellis">
        <fgColor theme="0" tint="-0.24994659260841701"/>
        <bgColor auto="1"/>
      </patternFill>
    </fill>
    <fill>
      <patternFill patternType="solid">
        <fgColor rgb="FFFF0066"/>
        <bgColor indexed="64"/>
      </patternFill>
    </fill>
    <fill>
      <gradientFill degree="90">
        <stop position="0">
          <color theme="0" tint="-0.49803155613879818"/>
        </stop>
        <stop position="1">
          <color rgb="FF008AEF"/>
        </stop>
      </gradientFill>
    </fill>
    <fill>
      <gradientFill degree="90">
        <stop position="0">
          <color theme="0"/>
        </stop>
        <stop position="1">
          <color rgb="FFFF0000"/>
        </stop>
      </gradientFill>
    </fill>
    <fill>
      <patternFill patternType="lightTrellis">
        <fgColor theme="0" tint="-0.24994659260841701"/>
        <bgColor indexed="65"/>
      </patternFill>
    </fill>
    <fill>
      <gradientFill degree="90">
        <stop position="0">
          <color theme="9" tint="0.59999389629810485"/>
        </stop>
        <stop position="1">
          <color theme="7" tint="0.40000610370189521"/>
        </stop>
      </gradientFill>
    </fill>
    <fill>
      <patternFill patternType="solid">
        <fgColor rgb="FFCCFF33"/>
        <bgColor indexed="64"/>
      </patternFill>
    </fill>
    <fill>
      <patternFill patternType="lightTrellis">
        <fgColor theme="0" tint="-0.24994659260841701"/>
        <bgColor rgb="FFCCFF33"/>
      </patternFill>
    </fill>
    <fill>
      <patternFill patternType="solid">
        <fgColor rgb="FFCC66FF"/>
        <bgColor theme="9" tint="0.59996337778862885"/>
      </patternFill>
    </fill>
    <fill>
      <patternFill patternType="lightTrellis">
        <fgColor theme="0" tint="-0.24994659260841701"/>
        <bgColor rgb="FFCC66FF"/>
      </patternFill>
    </fill>
    <fill>
      <patternFill patternType="solid">
        <fgColor rgb="FF00FFFF"/>
        <bgColor indexed="64"/>
      </patternFill>
    </fill>
    <fill>
      <patternFill patternType="solid">
        <fgColor theme="0" tint="-4.9989318521683403E-2"/>
        <bgColor indexed="64"/>
      </patternFill>
    </fill>
    <fill>
      <patternFill patternType="gray0625">
        <bgColor theme="0" tint="-4.9989318521683403E-2"/>
      </patternFill>
    </fill>
    <fill>
      <patternFill patternType="solid">
        <fgColor theme="9"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79998168889431442"/>
        <bgColor rgb="FF000000"/>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s>
  <cellStyleXfs count="12">
    <xf numFmtId="0" fontId="0" fillId="0" borderId="0"/>
    <xf numFmtId="9" fontId="1" fillId="0" borderId="0" applyFont="0" applyFill="0" applyBorder="0" applyAlignment="0" applyProtection="0"/>
    <xf numFmtId="0" fontId="2" fillId="0" borderId="0"/>
    <xf numFmtId="168" fontId="2" fillId="0" borderId="0" applyFont="0" applyFill="0" applyBorder="0" applyAlignment="0" applyProtection="0"/>
    <xf numFmtId="169" fontId="2" fillId="0" borderId="0" applyFont="0" applyFill="0" applyBorder="0" applyAlignment="0" applyProtection="0"/>
    <xf numFmtId="170" fontId="2"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9" fontId="2" fillId="0" borderId="0" applyFont="0" applyFill="0" applyBorder="0" applyAlignment="0" applyProtection="0"/>
    <xf numFmtId="9" fontId="2" fillId="0" borderId="0" applyFont="0" applyFill="0" applyBorder="0" applyAlignment="0" applyProtection="0"/>
    <xf numFmtId="43" fontId="1" fillId="0" borderId="0" applyFont="0" applyFill="0" applyBorder="0" applyAlignment="0" applyProtection="0"/>
  </cellStyleXfs>
  <cellXfs count="366">
    <xf numFmtId="0" fontId="0" fillId="0" borderId="0" xfId="0"/>
    <xf numFmtId="3" fontId="0" fillId="0" borderId="1" xfId="0" applyNumberFormat="1" applyBorder="1" applyAlignment="1">
      <alignment horizontal="center" vertical="center"/>
    </xf>
    <xf numFmtId="4" fontId="0" fillId="0" borderId="1" xfId="0" applyNumberFormat="1" applyBorder="1" applyAlignment="1">
      <alignment horizontal="center" vertical="center"/>
    </xf>
    <xf numFmtId="10" fontId="0" fillId="0" borderId="1" xfId="1" applyNumberFormat="1" applyFont="1" applyBorder="1" applyAlignment="1" applyProtection="1">
      <alignment horizontal="center" vertical="center"/>
    </xf>
    <xf numFmtId="171" fontId="0" fillId="0" borderId="1" xfId="1" applyNumberFormat="1" applyFont="1" applyBorder="1" applyAlignment="1" applyProtection="1">
      <alignment horizontal="center" vertical="center"/>
    </xf>
    <xf numFmtId="3" fontId="0" fillId="0" borderId="0" xfId="0" applyNumberFormat="1" applyAlignment="1" applyProtection="1">
      <alignment vertical="center"/>
      <protection locked="0"/>
    </xf>
    <xf numFmtId="3" fontId="0" fillId="0" borderId="0" xfId="0" applyNumberFormat="1" applyAlignment="1" applyProtection="1">
      <alignment horizontal="center" vertical="center" wrapText="1"/>
      <protection locked="0"/>
    </xf>
    <xf numFmtId="10" fontId="0" fillId="0" borderId="1" xfId="0" applyNumberFormat="1" applyBorder="1" applyAlignment="1">
      <alignment horizontal="center" vertical="center"/>
    </xf>
    <xf numFmtId="0" fontId="0" fillId="0" borderId="1" xfId="0" applyBorder="1" applyAlignment="1">
      <alignment horizontal="center" vertical="center"/>
    </xf>
    <xf numFmtId="15" fontId="0" fillId="0" borderId="1" xfId="0" applyNumberFormat="1" applyBorder="1" applyAlignment="1">
      <alignment horizontal="center" vertical="center"/>
    </xf>
    <xf numFmtId="3" fontId="0" fillId="0" borderId="1" xfId="0" applyNumberFormat="1" applyBorder="1" applyAlignment="1">
      <alignment vertical="center"/>
    </xf>
    <xf numFmtId="3" fontId="0" fillId="3" borderId="1" xfId="0" applyNumberFormat="1" applyFill="1" applyBorder="1" applyAlignment="1" applyProtection="1">
      <alignment vertical="center"/>
      <protection locked="0"/>
    </xf>
    <xf numFmtId="3" fontId="5" fillId="4" borderId="1" xfId="0" applyNumberFormat="1" applyFont="1" applyFill="1" applyBorder="1" applyAlignment="1">
      <alignment horizontal="centerContinuous" vertical="center" wrapText="1"/>
    </xf>
    <xf numFmtId="172" fontId="0" fillId="4" borderId="5" xfId="0" applyNumberFormat="1" applyFill="1" applyBorder="1" applyAlignment="1">
      <alignment vertical="center"/>
    </xf>
    <xf numFmtId="165" fontId="0" fillId="4" borderId="5" xfId="0" applyNumberFormat="1" applyFill="1" applyBorder="1" applyAlignment="1">
      <alignment horizontal="right" vertical="center"/>
    </xf>
    <xf numFmtId="3" fontId="0" fillId="4" borderId="1" xfId="0" applyNumberFormat="1" applyFill="1" applyBorder="1" applyAlignment="1">
      <alignment horizontal="centerContinuous" vertical="center" wrapText="1"/>
    </xf>
    <xf numFmtId="15" fontId="0" fillId="4" borderId="1" xfId="0" applyNumberFormat="1" applyFill="1" applyBorder="1" applyAlignment="1">
      <alignment horizontal="centerContinuous" vertical="center" wrapText="1"/>
    </xf>
    <xf numFmtId="3" fontId="5" fillId="0" borderId="0" xfId="0" applyNumberFormat="1" applyFont="1" applyAlignment="1" applyProtection="1">
      <alignment vertical="center"/>
      <protection locked="0"/>
    </xf>
    <xf numFmtId="0" fontId="0" fillId="2" borderId="1" xfId="0" applyFill="1" applyBorder="1" applyAlignment="1" applyProtection="1">
      <alignment horizontal="center" vertical="center"/>
      <protection locked="0"/>
    </xf>
    <xf numFmtId="3" fontId="0" fillId="2" borderId="1" xfId="0" applyNumberFormat="1" applyFill="1" applyBorder="1" applyAlignment="1" applyProtection="1">
      <alignment vertical="center"/>
      <protection locked="0"/>
    </xf>
    <xf numFmtId="171" fontId="0" fillId="2" borderId="1" xfId="1" applyNumberFormat="1" applyFont="1" applyFill="1" applyBorder="1" applyAlignment="1" applyProtection="1">
      <alignment horizontal="center" vertical="center"/>
      <protection locked="0"/>
    </xf>
    <xf numFmtId="3" fontId="0" fillId="2" borderId="1" xfId="0" applyNumberFormat="1" applyFill="1" applyBorder="1" applyAlignment="1" applyProtection="1">
      <alignment horizontal="right" vertical="center"/>
      <protection locked="0"/>
    </xf>
    <xf numFmtId="3" fontId="0" fillId="2" borderId="1" xfId="0" applyNumberFormat="1" applyFill="1" applyBorder="1" applyAlignment="1" applyProtection="1">
      <alignment horizontal="center" vertical="center"/>
      <protection locked="0"/>
    </xf>
    <xf numFmtId="166" fontId="0" fillId="6" borderId="1" xfId="1" applyNumberFormat="1" applyFont="1" applyFill="1" applyBorder="1" applyAlignment="1" applyProtection="1">
      <alignment horizontal="center" vertical="center" wrapText="1"/>
    </xf>
    <xf numFmtId="3" fontId="0" fillId="0" borderId="1" xfId="0" applyNumberFormat="1" applyBorder="1" applyAlignment="1">
      <alignment horizontal="right" vertical="center"/>
    </xf>
    <xf numFmtId="3" fontId="8" fillId="0" borderId="0" xfId="0" applyNumberFormat="1" applyFont="1" applyAlignment="1">
      <alignment vertical="center"/>
    </xf>
    <xf numFmtId="3" fontId="4" fillId="0" borderId="1" xfId="0" applyNumberFormat="1" applyFont="1" applyBorder="1" applyAlignment="1">
      <alignment vertical="center"/>
    </xf>
    <xf numFmtId="15" fontId="4" fillId="0" borderId="1" xfId="0" applyNumberFormat="1" applyFont="1" applyBorder="1" applyAlignment="1">
      <alignment horizontal="right" vertical="center"/>
    </xf>
    <xf numFmtId="3" fontId="4" fillId="0" borderId="1" xfId="0" applyNumberFormat="1" applyFont="1" applyBorder="1" applyAlignment="1">
      <alignment horizontal="right" vertical="center"/>
    </xf>
    <xf numFmtId="0" fontId="5" fillId="4" borderId="1" xfId="0" applyFont="1" applyFill="1" applyBorder="1" applyAlignment="1">
      <alignment horizontal="centerContinuous" vertical="center" wrapText="1"/>
    </xf>
    <xf numFmtId="0" fontId="0" fillId="4" borderId="1" xfId="0" applyFill="1" applyBorder="1" applyAlignment="1">
      <alignment horizontal="centerContinuous" vertical="center" wrapText="1"/>
    </xf>
    <xf numFmtId="1" fontId="0" fillId="2" borderId="1" xfId="0" applyNumberFormat="1" applyFill="1" applyBorder="1" applyAlignment="1" applyProtection="1">
      <alignment horizontal="center" vertical="center"/>
      <protection locked="0"/>
    </xf>
    <xf numFmtId="3" fontId="0" fillId="4" borderId="5" xfId="0" applyNumberFormat="1" applyFill="1" applyBorder="1" applyAlignment="1">
      <alignment vertical="center"/>
    </xf>
    <xf numFmtId="3" fontId="0" fillId="4" borderId="6" xfId="0" applyNumberFormat="1" applyFill="1" applyBorder="1" applyAlignment="1">
      <alignment vertical="center"/>
    </xf>
    <xf numFmtId="3" fontId="0" fillId="4" borderId="4" xfId="0" applyNumberFormat="1" applyFill="1" applyBorder="1" applyAlignment="1">
      <alignment vertical="center"/>
    </xf>
    <xf numFmtId="3" fontId="0" fillId="6" borderId="5" xfId="0" applyNumberFormat="1" applyFill="1" applyBorder="1" applyAlignment="1">
      <alignment vertical="center"/>
    </xf>
    <xf numFmtId="3" fontId="0" fillId="4" borderId="17" xfId="0" applyNumberFormat="1" applyFill="1" applyBorder="1" applyAlignment="1">
      <alignment vertical="center"/>
    </xf>
    <xf numFmtId="3" fontId="0" fillId="4" borderId="18" xfId="0" applyNumberFormat="1" applyFill="1" applyBorder="1" applyAlignment="1">
      <alignment vertical="center"/>
    </xf>
    <xf numFmtId="3" fontId="0" fillId="4" borderId="19" xfId="0" applyNumberFormat="1" applyFill="1" applyBorder="1" applyAlignment="1">
      <alignment vertical="center"/>
    </xf>
    <xf numFmtId="3" fontId="0" fillId="0" borderId="16" xfId="0" applyNumberFormat="1" applyBorder="1" applyAlignment="1">
      <alignment vertical="center"/>
    </xf>
    <xf numFmtId="3" fontId="0" fillId="10" borderId="0" xfId="0" applyNumberFormat="1" applyFill="1" applyAlignment="1">
      <alignment horizontal="center" vertical="center"/>
    </xf>
    <xf numFmtId="3" fontId="0" fillId="10" borderId="0" xfId="0" applyNumberFormat="1" applyFill="1" applyAlignment="1">
      <alignment vertical="center"/>
    </xf>
    <xf numFmtId="49" fontId="0" fillId="0" borderId="1" xfId="0" applyNumberFormat="1" applyBorder="1" applyAlignment="1">
      <alignment horizontal="center" vertical="center"/>
    </xf>
    <xf numFmtId="3" fontId="0" fillId="4" borderId="22" xfId="0" applyNumberFormat="1" applyFill="1" applyBorder="1" applyAlignment="1">
      <alignment vertical="center"/>
    </xf>
    <xf numFmtId="3" fontId="0" fillId="4" borderId="23" xfId="0" applyNumberFormat="1" applyFill="1" applyBorder="1" applyAlignment="1">
      <alignment vertical="center"/>
    </xf>
    <xf numFmtId="3" fontId="0" fillId="4" borderId="24" xfId="0" applyNumberFormat="1" applyFill="1" applyBorder="1" applyAlignment="1">
      <alignment vertical="center"/>
    </xf>
    <xf numFmtId="3" fontId="0" fillId="3" borderId="1" xfId="0" applyNumberFormat="1" applyFill="1" applyBorder="1" applyAlignment="1" applyProtection="1">
      <alignment horizontal="center" vertical="center"/>
      <protection locked="0"/>
    </xf>
    <xf numFmtId="15" fontId="0" fillId="2" borderId="1" xfId="0" applyNumberFormat="1" applyFill="1" applyBorder="1" applyAlignment="1" applyProtection="1">
      <alignment horizontal="right" vertical="center"/>
      <protection locked="0"/>
    </xf>
    <xf numFmtId="3" fontId="0" fillId="0" borderId="0" xfId="0" applyNumberFormat="1" applyAlignment="1">
      <alignment vertical="center"/>
    </xf>
    <xf numFmtId="3" fontId="12" fillId="0" borderId="1" xfId="0" applyNumberFormat="1" applyFont="1" applyBorder="1" applyAlignment="1">
      <alignment vertical="center"/>
    </xf>
    <xf numFmtId="4" fontId="12" fillId="0" borderId="1" xfId="0" applyNumberFormat="1" applyFont="1" applyBorder="1" applyAlignment="1">
      <alignment horizontal="center" vertical="center"/>
    </xf>
    <xf numFmtId="10" fontId="12" fillId="0" borderId="1" xfId="1" applyNumberFormat="1" applyFont="1" applyFill="1" applyBorder="1" applyAlignment="1" applyProtection="1">
      <alignment horizontal="center" vertical="center"/>
    </xf>
    <xf numFmtId="3" fontId="11" fillId="0" borderId="0" xfId="0" applyNumberFormat="1" applyFont="1" applyAlignment="1">
      <alignment horizontal="right" vertical="center"/>
    </xf>
    <xf numFmtId="3" fontId="0" fillId="2" borderId="20" xfId="0" applyNumberFormat="1" applyFill="1" applyBorder="1" applyAlignment="1" applyProtection="1">
      <alignment horizontal="right" vertical="center"/>
      <protection locked="0"/>
    </xf>
    <xf numFmtId="3" fontId="0" fillId="6" borderId="5" xfId="0" applyNumberFormat="1" applyFill="1" applyBorder="1" applyAlignment="1">
      <alignment horizontal="centerContinuous" vertical="center" wrapText="1"/>
    </xf>
    <xf numFmtId="3" fontId="0" fillId="6" borderId="4" xfId="0" applyNumberFormat="1" applyFill="1" applyBorder="1" applyAlignment="1">
      <alignment horizontal="centerContinuous" vertical="center" wrapText="1"/>
    </xf>
    <xf numFmtId="3" fontId="0" fillId="6" borderId="1" xfId="0" applyNumberFormat="1" applyFill="1" applyBorder="1" applyAlignment="1">
      <alignment horizontal="centerContinuous" vertical="center" wrapText="1"/>
    </xf>
    <xf numFmtId="3" fontId="0" fillId="4" borderId="1" xfId="0" applyNumberFormat="1" applyFill="1" applyBorder="1" applyAlignment="1">
      <alignment horizontal="center" vertical="center" wrapText="1"/>
    </xf>
    <xf numFmtId="3" fontId="0" fillId="6" borderId="1" xfId="0" applyNumberFormat="1" applyFill="1" applyBorder="1" applyAlignment="1">
      <alignment horizontal="center" vertical="center" wrapText="1"/>
    </xf>
    <xf numFmtId="3" fontId="0" fillId="6" borderId="3" xfId="0" applyNumberFormat="1" applyFill="1" applyBorder="1" applyAlignment="1">
      <alignment horizontal="center" vertical="center" wrapText="1"/>
    </xf>
    <xf numFmtId="15" fontId="0" fillId="4" borderId="1" xfId="0" applyNumberFormat="1" applyFill="1" applyBorder="1" applyAlignment="1">
      <alignment horizontal="center" vertical="center" wrapText="1"/>
    </xf>
    <xf numFmtId="15" fontId="0" fillId="2" borderId="1" xfId="0" applyNumberFormat="1" applyFill="1" applyBorder="1" applyAlignment="1" applyProtection="1">
      <alignment horizontal="center" vertical="center"/>
      <protection locked="0"/>
    </xf>
    <xf numFmtId="3" fontId="4" fillId="3" borderId="1" xfId="0" applyNumberFormat="1" applyFont="1" applyFill="1" applyBorder="1" applyAlignment="1" applyProtection="1">
      <alignment vertical="center"/>
      <protection locked="0"/>
    </xf>
    <xf numFmtId="4" fontId="0" fillId="0" borderId="0" xfId="0" applyNumberFormat="1" applyAlignment="1" applyProtection="1">
      <alignment vertical="center"/>
      <protection locked="0"/>
    </xf>
    <xf numFmtId="3" fontId="0" fillId="12" borderId="1" xfId="0" applyNumberFormat="1" applyFill="1" applyBorder="1" applyAlignment="1">
      <alignment horizontal="center" vertical="center" wrapText="1"/>
    </xf>
    <xf numFmtId="10" fontId="0" fillId="0" borderId="1" xfId="1" applyNumberFormat="1" applyFont="1" applyFill="1" applyBorder="1" applyAlignment="1" applyProtection="1">
      <alignment horizontal="center" vertical="center"/>
    </xf>
    <xf numFmtId="171" fontId="0" fillId="0" borderId="1" xfId="1" applyNumberFormat="1" applyFont="1" applyFill="1" applyBorder="1" applyAlignment="1" applyProtection="1">
      <alignment horizontal="center" vertical="center"/>
    </xf>
    <xf numFmtId="3" fontId="0" fillId="0" borderId="15" xfId="0" applyNumberFormat="1" applyBorder="1" applyAlignment="1" applyProtection="1">
      <alignment vertical="center"/>
      <protection locked="0"/>
    </xf>
    <xf numFmtId="3" fontId="0" fillId="2" borderId="1" xfId="0" applyNumberFormat="1" applyFill="1" applyBorder="1" applyAlignment="1" applyProtection="1">
      <alignment horizontal="justify" vertical="center" wrapText="1"/>
      <protection locked="0"/>
    </xf>
    <xf numFmtId="3" fontId="6" fillId="0" borderId="0" xfId="2" applyNumberFormat="1" applyFont="1" applyAlignment="1">
      <alignment vertical="center"/>
    </xf>
    <xf numFmtId="3" fontId="14" fillId="0" borderId="0" xfId="2" applyNumberFormat="1" applyFont="1" applyAlignment="1">
      <alignment vertical="center"/>
    </xf>
    <xf numFmtId="173" fontId="0" fillId="0" borderId="1" xfId="0" applyNumberFormat="1" applyBorder="1" applyAlignment="1">
      <alignment horizontal="center" vertical="center"/>
    </xf>
    <xf numFmtId="174" fontId="0" fillId="0" borderId="0" xfId="0" applyNumberFormat="1" applyAlignment="1" applyProtection="1">
      <alignment vertical="center"/>
      <protection locked="0"/>
    </xf>
    <xf numFmtId="167" fontId="0" fillId="0" borderId="0" xfId="0" applyNumberFormat="1" applyAlignment="1">
      <alignment horizontal="center" vertical="center"/>
    </xf>
    <xf numFmtId="9" fontId="0" fillId="2" borderId="1" xfId="1" applyFont="1" applyFill="1" applyBorder="1" applyAlignment="1" applyProtection="1">
      <alignment horizontal="center" vertical="center"/>
      <protection locked="0"/>
    </xf>
    <xf numFmtId="15" fontId="0" fillId="2" borderId="3" xfId="0" applyNumberFormat="1" applyFill="1" applyBorder="1" applyAlignment="1" applyProtection="1">
      <alignment horizontal="right" vertical="center"/>
      <protection locked="0"/>
    </xf>
    <xf numFmtId="3" fontId="0" fillId="0" borderId="3" xfId="0" applyNumberFormat="1" applyBorder="1" applyAlignment="1">
      <alignment horizontal="right" vertical="center"/>
    </xf>
    <xf numFmtId="167" fontId="0" fillId="2" borderId="1" xfId="0" applyNumberFormat="1" applyFill="1" applyBorder="1" applyAlignment="1" applyProtection="1">
      <alignment vertical="center"/>
      <protection locked="0"/>
    </xf>
    <xf numFmtId="3" fontId="0" fillId="4" borderId="1" xfId="0" applyNumberFormat="1" applyFill="1" applyBorder="1" applyAlignment="1">
      <alignment vertical="center"/>
    </xf>
    <xf numFmtId="3" fontId="0" fillId="4" borderId="20" xfId="0" applyNumberFormat="1" applyFill="1" applyBorder="1" applyAlignment="1">
      <alignment vertical="center"/>
    </xf>
    <xf numFmtId="3" fontId="0" fillId="4" borderId="5" xfId="0" applyNumberFormat="1" applyFill="1" applyBorder="1" applyAlignment="1">
      <alignment horizontal="center" vertical="center" wrapText="1"/>
    </xf>
    <xf numFmtId="3" fontId="0" fillId="4" borderId="6" xfId="0" applyNumberFormat="1" applyFill="1" applyBorder="1" applyAlignment="1">
      <alignment horizontal="center" vertical="center" wrapText="1"/>
    </xf>
    <xf numFmtId="3" fontId="0" fillId="4" borderId="4" xfId="0" applyNumberFormat="1" applyFill="1" applyBorder="1" applyAlignment="1">
      <alignment horizontal="center" vertical="center" wrapText="1"/>
    </xf>
    <xf numFmtId="3" fontId="0" fillId="4" borderId="1" xfId="0" applyNumberFormat="1" applyFill="1" applyBorder="1" applyAlignment="1" applyProtection="1">
      <alignment vertical="center"/>
      <protection locked="0"/>
    </xf>
    <xf numFmtId="3" fontId="0" fillId="4" borderId="14" xfId="0" applyNumberFormat="1" applyFill="1" applyBorder="1" applyAlignment="1">
      <alignment vertical="center"/>
    </xf>
    <xf numFmtId="3" fontId="0" fillId="4" borderId="10" xfId="0" applyNumberFormat="1" applyFill="1" applyBorder="1" applyAlignment="1">
      <alignment vertical="center"/>
    </xf>
    <xf numFmtId="3" fontId="0" fillId="0" borderId="2" xfId="0" applyNumberFormat="1" applyBorder="1" applyAlignment="1">
      <alignment horizontal="center" vertical="center"/>
    </xf>
    <xf numFmtId="3" fontId="0" fillId="4" borderId="11" xfId="0" applyNumberFormat="1" applyFill="1" applyBorder="1" applyAlignment="1">
      <alignment vertical="center"/>
    </xf>
    <xf numFmtId="3" fontId="1" fillId="4" borderId="1" xfId="0" applyNumberFormat="1" applyFont="1" applyFill="1" applyBorder="1" applyAlignment="1">
      <alignment horizontal="centerContinuous" vertical="center" wrapText="1"/>
    </xf>
    <xf numFmtId="3" fontId="1" fillId="4" borderId="1" xfId="0" applyNumberFormat="1" applyFont="1" applyFill="1" applyBorder="1" applyAlignment="1">
      <alignment horizontal="center" vertical="center" wrapText="1"/>
    </xf>
    <xf numFmtId="0" fontId="0" fillId="2" borderId="1" xfId="0" applyFill="1" applyBorder="1" applyAlignment="1" applyProtection="1">
      <alignment horizontal="left" vertical="center"/>
      <protection locked="0"/>
    </xf>
    <xf numFmtId="0" fontId="0" fillId="2" borderId="1" xfId="0" applyFill="1" applyBorder="1" applyAlignment="1">
      <alignment horizontal="left" vertical="center"/>
    </xf>
    <xf numFmtId="3" fontId="1" fillId="0" borderId="0" xfId="0" applyNumberFormat="1" applyFont="1" applyAlignment="1" applyProtection="1">
      <alignment vertical="center"/>
      <protection locked="0"/>
    </xf>
    <xf numFmtId="3" fontId="0" fillId="2" borderId="3" xfId="0" applyNumberFormat="1" applyFill="1" applyBorder="1" applyAlignment="1" applyProtection="1">
      <alignment horizontal="right" vertical="center"/>
      <protection locked="0"/>
    </xf>
    <xf numFmtId="3" fontId="0" fillId="4" borderId="3" xfId="0" applyNumberFormat="1" applyFill="1" applyBorder="1" applyAlignment="1" applyProtection="1">
      <alignment vertical="center"/>
      <protection locked="0"/>
    </xf>
    <xf numFmtId="3" fontId="0" fillId="2" borderId="1" xfId="0" applyNumberFormat="1" applyFill="1" applyBorder="1" applyAlignment="1">
      <alignment horizontal="center" vertical="center"/>
    </xf>
    <xf numFmtId="3" fontId="0" fillId="4" borderId="3" xfId="0" applyNumberFormat="1" applyFill="1" applyBorder="1" applyAlignment="1">
      <alignment horizontal="centerContinuous" vertical="center" wrapText="1"/>
    </xf>
    <xf numFmtId="3" fontId="1" fillId="0" borderId="1" xfId="0" applyNumberFormat="1" applyFont="1" applyBorder="1" applyAlignment="1">
      <alignment vertical="center"/>
    </xf>
    <xf numFmtId="3" fontId="4" fillId="0" borderId="1" xfId="0" applyNumberFormat="1" applyFont="1" applyBorder="1" applyAlignment="1">
      <alignment horizontal="center" vertical="center"/>
    </xf>
    <xf numFmtId="3" fontId="0" fillId="0" borderId="2" xfId="0" applyNumberFormat="1" applyBorder="1" applyAlignment="1">
      <alignment vertical="center"/>
    </xf>
    <xf numFmtId="3" fontId="0" fillId="4" borderId="13" xfId="0" applyNumberFormat="1" applyFill="1" applyBorder="1" applyAlignment="1">
      <alignment vertical="center"/>
    </xf>
    <xf numFmtId="4" fontId="0" fillId="4" borderId="9" xfId="0" applyNumberFormat="1" applyFill="1" applyBorder="1" applyAlignment="1">
      <alignment vertical="center"/>
    </xf>
    <xf numFmtId="167" fontId="0" fillId="2" borderId="2" xfId="0" applyNumberFormat="1" applyFill="1" applyBorder="1" applyAlignment="1" applyProtection="1">
      <alignment horizontal="center" vertical="center"/>
      <protection locked="0"/>
    </xf>
    <xf numFmtId="3" fontId="5" fillId="17" borderId="1" xfId="0" applyNumberFormat="1" applyFont="1" applyFill="1" applyBorder="1" applyAlignment="1" applyProtection="1">
      <alignment horizontal="center" vertical="center"/>
      <protection locked="0"/>
    </xf>
    <xf numFmtId="3" fontId="0" fillId="2" borderId="2" xfId="0" applyNumberFormat="1" applyFill="1" applyBorder="1" applyAlignment="1" applyProtection="1">
      <alignment vertical="center"/>
      <protection locked="0"/>
    </xf>
    <xf numFmtId="3" fontId="4" fillId="0" borderId="1" xfId="0" applyNumberFormat="1" applyFont="1" applyBorder="1" applyAlignment="1" applyProtection="1">
      <alignment vertical="center"/>
      <protection locked="0"/>
    </xf>
    <xf numFmtId="10" fontId="0" fillId="0" borderId="2" xfId="1" applyNumberFormat="1" applyFont="1" applyBorder="1" applyAlignment="1" applyProtection="1">
      <alignment vertical="center"/>
    </xf>
    <xf numFmtId="171" fontId="0" fillId="0" borderId="2" xfId="1" applyNumberFormat="1" applyFont="1" applyBorder="1" applyAlignment="1" applyProtection="1">
      <alignment vertical="center"/>
    </xf>
    <xf numFmtId="3" fontId="4" fillId="3" borderId="1" xfId="0" applyNumberFormat="1" applyFont="1" applyFill="1" applyBorder="1" applyAlignment="1">
      <alignment vertical="center"/>
    </xf>
    <xf numFmtId="3" fontId="0" fillId="3" borderId="1" xfId="0" applyNumberFormat="1" applyFill="1" applyBorder="1" applyAlignment="1">
      <alignment vertical="center"/>
    </xf>
    <xf numFmtId="167" fontId="0" fillId="0" borderId="1" xfId="0" applyNumberFormat="1" applyBorder="1" applyAlignment="1" applyProtection="1">
      <alignment horizontal="center" vertical="center"/>
      <protection locked="0"/>
    </xf>
    <xf numFmtId="3" fontId="1" fillId="0" borderId="8" xfId="0" applyNumberFormat="1" applyFont="1" applyBorder="1" applyAlignment="1" applyProtection="1">
      <alignment horizontal="center" vertical="center" wrapText="1"/>
      <protection locked="0"/>
    </xf>
    <xf numFmtId="3" fontId="1" fillId="0" borderId="15" xfId="0" applyNumberFormat="1" applyFont="1" applyBorder="1" applyAlignment="1" applyProtection="1">
      <alignment horizontal="center" vertical="center" wrapText="1"/>
      <protection locked="0"/>
    </xf>
    <xf numFmtId="3" fontId="0" fillId="0" borderId="0" xfId="0" applyNumberFormat="1" applyAlignment="1" applyProtection="1">
      <alignment horizontal="center" vertical="center"/>
      <protection locked="0"/>
    </xf>
    <xf numFmtId="3" fontId="0" fillId="4" borderId="5" xfId="0" applyNumberFormat="1" applyFill="1" applyBorder="1" applyAlignment="1">
      <alignment horizontal="left" vertical="center"/>
    </xf>
    <xf numFmtId="3" fontId="0" fillId="19" borderId="1" xfId="0" applyNumberFormat="1" applyFill="1" applyBorder="1" applyAlignment="1" applyProtection="1">
      <alignment vertical="center"/>
      <protection locked="0"/>
    </xf>
    <xf numFmtId="3" fontId="0" fillId="4" borderId="2" xfId="0" applyNumberFormat="1" applyFill="1" applyBorder="1" applyAlignment="1">
      <alignment vertical="center"/>
    </xf>
    <xf numFmtId="3" fontId="0" fillId="2" borderId="2" xfId="0" applyNumberFormat="1" applyFill="1" applyBorder="1" applyAlignment="1" applyProtection="1">
      <alignment horizontal="right" vertical="center"/>
      <protection locked="0"/>
    </xf>
    <xf numFmtId="3" fontId="0" fillId="19" borderId="1" xfId="0" applyNumberFormat="1" applyFill="1" applyBorder="1" applyAlignment="1">
      <alignment vertical="center"/>
    </xf>
    <xf numFmtId="3" fontId="0" fillId="6" borderId="6" xfId="0" applyNumberFormat="1" applyFill="1" applyBorder="1" applyAlignment="1">
      <alignment vertical="center"/>
    </xf>
    <xf numFmtId="171" fontId="0" fillId="19" borderId="1" xfId="1" applyNumberFormat="1" applyFont="1" applyFill="1" applyBorder="1" applyAlignment="1" applyProtection="1">
      <alignment horizontal="center" vertical="center"/>
      <protection locked="0"/>
    </xf>
    <xf numFmtId="3" fontId="0" fillId="0" borderId="1" xfId="0" applyNumberFormat="1" applyBorder="1" applyAlignment="1" applyProtection="1">
      <alignment vertical="center"/>
      <protection locked="0"/>
    </xf>
    <xf numFmtId="15" fontId="0" fillId="19" borderId="1" xfId="0" applyNumberFormat="1" applyFill="1" applyBorder="1" applyAlignment="1" applyProtection="1">
      <alignment vertical="center"/>
      <protection locked="0"/>
    </xf>
    <xf numFmtId="15" fontId="0" fillId="2" borderId="3" xfId="0" applyNumberFormat="1" applyFill="1" applyBorder="1" applyAlignment="1" applyProtection="1">
      <alignment vertical="center"/>
      <protection locked="0"/>
    </xf>
    <xf numFmtId="15" fontId="0" fillId="2" borderId="2" xfId="0" applyNumberFormat="1" applyFill="1" applyBorder="1" applyAlignment="1" applyProtection="1">
      <alignment vertical="center"/>
      <protection locked="0"/>
    </xf>
    <xf numFmtId="3" fontId="0" fillId="4" borderId="2" xfId="0" applyNumberFormat="1" applyFill="1" applyBorder="1" applyAlignment="1">
      <alignment horizontal="centerContinuous" vertical="center" wrapText="1"/>
    </xf>
    <xf numFmtId="0" fontId="15" fillId="0" borderId="0" xfId="0" applyFont="1"/>
    <xf numFmtId="0" fontId="16" fillId="0" borderId="0" xfId="0" applyFont="1"/>
    <xf numFmtId="0" fontId="0" fillId="20" borderId="0" xfId="0" applyFill="1"/>
    <xf numFmtId="3" fontId="5" fillId="6" borderId="1" xfId="0" applyNumberFormat="1" applyFont="1" applyFill="1" applyBorder="1" applyAlignment="1">
      <alignment vertical="center"/>
    </xf>
    <xf numFmtId="3" fontId="0" fillId="4" borderId="4" xfId="0" applyNumberFormat="1" applyFill="1" applyBorder="1" applyAlignment="1">
      <alignment vertical="center" wrapText="1"/>
    </xf>
    <xf numFmtId="3" fontId="0" fillId="4" borderId="6" xfId="0" applyNumberFormat="1" applyFill="1" applyBorder="1" applyAlignment="1">
      <alignment vertical="center" wrapText="1"/>
    </xf>
    <xf numFmtId="3" fontId="5" fillId="0" borderId="0" xfId="0" applyNumberFormat="1" applyFont="1" applyAlignment="1">
      <alignment horizontal="center" vertical="center" wrapText="1"/>
    </xf>
    <xf numFmtId="1" fontId="0" fillId="19" borderId="1" xfId="0" applyNumberFormat="1" applyFill="1" applyBorder="1" applyAlignment="1" applyProtection="1">
      <alignment horizontal="center" vertical="center"/>
      <protection locked="0"/>
    </xf>
    <xf numFmtId="175" fontId="0" fillId="19" borderId="1" xfId="11" applyNumberFormat="1" applyFont="1" applyFill="1" applyBorder="1" applyAlignment="1" applyProtection="1">
      <alignment horizontal="center" vertical="center"/>
      <protection locked="0"/>
    </xf>
    <xf numFmtId="3" fontId="4" fillId="0" borderId="1" xfId="0" applyNumberFormat="1" applyFont="1" applyBorder="1" applyAlignment="1" applyProtection="1">
      <alignment horizontal="center" vertical="center"/>
      <protection locked="0"/>
    </xf>
    <xf numFmtId="0" fontId="18" fillId="0" borderId="0" xfId="0" applyFont="1"/>
    <xf numFmtId="3" fontId="5" fillId="4" borderId="5" xfId="0" applyNumberFormat="1" applyFont="1" applyFill="1" applyBorder="1" applyAlignment="1">
      <alignment vertical="center"/>
    </xf>
    <xf numFmtId="0" fontId="18" fillId="20" borderId="0" xfId="0" applyFont="1" applyFill="1"/>
    <xf numFmtId="0" fontId="17" fillId="20" borderId="0" xfId="0" applyFont="1" applyFill="1"/>
    <xf numFmtId="3" fontId="17" fillId="0" borderId="0" xfId="0" applyNumberFormat="1" applyFont="1" applyAlignment="1">
      <alignment vertical="center"/>
    </xf>
    <xf numFmtId="3" fontId="5" fillId="4" borderId="1" xfId="0" applyNumberFormat="1" applyFont="1" applyFill="1" applyBorder="1" applyAlignment="1">
      <alignment horizontal="center" vertical="center"/>
    </xf>
    <xf numFmtId="0" fontId="0" fillId="2" borderId="8" xfId="0" applyFill="1" applyBorder="1" applyAlignment="1">
      <alignment horizontal="left" vertical="center"/>
    </xf>
    <xf numFmtId="3" fontId="5" fillId="3" borderId="1" xfId="0" applyNumberFormat="1" applyFont="1" applyFill="1" applyBorder="1" applyAlignment="1">
      <alignment horizontal="center" vertical="center"/>
    </xf>
    <xf numFmtId="3" fontId="4" fillId="0" borderId="1" xfId="0" applyNumberFormat="1" applyFont="1" applyBorder="1" applyAlignment="1" applyProtection="1">
      <alignment vertical="center"/>
      <protection hidden="1"/>
    </xf>
    <xf numFmtId="3" fontId="0" fillId="0" borderId="1" xfId="0" applyNumberFormat="1" applyBorder="1" applyAlignment="1" applyProtection="1">
      <alignment vertical="center"/>
      <protection hidden="1"/>
    </xf>
    <xf numFmtId="0" fontId="19" fillId="22" borderId="0" xfId="0" applyFont="1" applyFill="1" applyProtection="1">
      <protection locked="0"/>
    </xf>
    <xf numFmtId="14" fontId="19" fillId="22" borderId="0" xfId="0" applyNumberFormat="1" applyFont="1" applyFill="1" applyProtection="1">
      <protection locked="0"/>
    </xf>
    <xf numFmtId="11" fontId="19" fillId="22" borderId="0" xfId="0" applyNumberFormat="1" applyFont="1" applyFill="1" applyProtection="1">
      <protection locked="0"/>
    </xf>
    <xf numFmtId="0" fontId="19" fillId="22" borderId="0" xfId="0" applyFont="1" applyFill="1" applyAlignment="1" applyProtection="1">
      <alignment horizontal="right"/>
      <protection locked="0"/>
    </xf>
    <xf numFmtId="4" fontId="19" fillId="22" borderId="0" xfId="0" applyNumberFormat="1" applyFont="1" applyFill="1" applyAlignment="1" applyProtection="1">
      <alignment horizontal="right"/>
      <protection locked="0"/>
    </xf>
    <xf numFmtId="0" fontId="20" fillId="23" borderId="0" xfId="0" applyFont="1" applyFill="1" applyAlignment="1" applyProtection="1">
      <alignment horizontal="left"/>
      <protection locked="0"/>
    </xf>
    <xf numFmtId="0" fontId="21" fillId="23" borderId="1" xfId="0" applyFont="1" applyFill="1" applyBorder="1" applyAlignment="1" applyProtection="1">
      <alignment horizontal="left"/>
      <protection locked="0"/>
    </xf>
    <xf numFmtId="0" fontId="19" fillId="22" borderId="1" xfId="0" applyFont="1" applyFill="1" applyBorder="1" applyProtection="1">
      <protection locked="0"/>
    </xf>
    <xf numFmtId="0" fontId="20" fillId="23" borderId="1" xfId="0" applyFont="1" applyFill="1" applyBorder="1" applyAlignment="1" applyProtection="1">
      <alignment horizontal="right" vertical="center"/>
      <protection locked="0"/>
    </xf>
    <xf numFmtId="0" fontId="20" fillId="23" borderId="1" xfId="0" applyFont="1" applyFill="1" applyBorder="1" applyAlignment="1" applyProtection="1">
      <alignment horizontal="left"/>
      <protection locked="0"/>
    </xf>
    <xf numFmtId="6" fontId="19" fillId="22" borderId="0" xfId="0" applyNumberFormat="1" applyFont="1" applyFill="1" applyProtection="1">
      <protection locked="0"/>
    </xf>
    <xf numFmtId="0" fontId="22" fillId="22" borderId="0" xfId="0" applyFont="1" applyFill="1" applyProtection="1">
      <protection locked="0"/>
    </xf>
    <xf numFmtId="6" fontId="20" fillId="23" borderId="0" xfId="0" applyNumberFormat="1" applyFont="1" applyFill="1" applyAlignment="1" applyProtection="1">
      <alignment horizontal="left"/>
      <protection locked="0"/>
    </xf>
    <xf numFmtId="6" fontId="15" fillId="22" borderId="1" xfId="0" applyNumberFormat="1" applyFont="1" applyFill="1" applyBorder="1" applyProtection="1">
      <protection locked="0"/>
    </xf>
    <xf numFmtId="0" fontId="15" fillId="22" borderId="1" xfId="0" applyFont="1" applyFill="1" applyBorder="1" applyProtection="1">
      <protection locked="0"/>
    </xf>
    <xf numFmtId="0" fontId="16" fillId="22" borderId="1" xfId="0" applyFont="1" applyFill="1" applyBorder="1" applyProtection="1">
      <protection locked="0"/>
    </xf>
    <xf numFmtId="0" fontId="0" fillId="22" borderId="1" xfId="0" applyFill="1" applyBorder="1" applyProtection="1">
      <protection locked="0"/>
    </xf>
    <xf numFmtId="3" fontId="5" fillId="4" borderId="3" xfId="0" applyNumberFormat="1" applyFont="1" applyFill="1" applyBorder="1" applyAlignment="1">
      <alignment horizontal="center" vertical="center" wrapText="1"/>
    </xf>
    <xf numFmtId="3" fontId="5" fillId="4" borderId="7" xfId="0" applyNumberFormat="1" applyFont="1" applyFill="1" applyBorder="1" applyAlignment="1">
      <alignment horizontal="center" vertical="center" wrapText="1"/>
    </xf>
    <xf numFmtId="3" fontId="5" fillId="4" borderId="2" xfId="0" applyNumberFormat="1" applyFont="1" applyFill="1" applyBorder="1" applyAlignment="1">
      <alignment horizontal="center" vertical="center" wrapText="1"/>
    </xf>
    <xf numFmtId="3" fontId="7" fillId="0" borderId="0" xfId="0" applyNumberFormat="1" applyFont="1" applyAlignment="1">
      <alignment horizontal="left" vertical="center" wrapText="1"/>
    </xf>
    <xf numFmtId="3" fontId="7" fillId="0" borderId="0" xfId="2" applyNumberFormat="1" applyFont="1" applyAlignment="1">
      <alignment horizontal="left" vertical="center" wrapText="1"/>
    </xf>
    <xf numFmtId="3" fontId="0" fillId="3" borderId="1" xfId="0" applyNumberFormat="1" applyFill="1" applyBorder="1" applyAlignment="1" applyProtection="1">
      <alignment horizontal="left" vertical="center"/>
      <protection locked="0"/>
    </xf>
    <xf numFmtId="3" fontId="0" fillId="3" borderId="5" xfId="0" applyNumberFormat="1" applyFill="1" applyBorder="1" applyAlignment="1" applyProtection="1">
      <alignment horizontal="left" vertical="center"/>
      <protection locked="0"/>
    </xf>
    <xf numFmtId="3" fontId="5" fillId="4" borderId="5" xfId="0" applyNumberFormat="1" applyFont="1" applyFill="1" applyBorder="1" applyAlignment="1">
      <alignment horizontal="center" vertical="center"/>
    </xf>
    <xf numFmtId="3" fontId="5" fillId="4" borderId="6" xfId="0" applyNumberFormat="1" applyFont="1" applyFill="1" applyBorder="1" applyAlignment="1">
      <alignment horizontal="center" vertical="center"/>
    </xf>
    <xf numFmtId="3" fontId="5" fillId="4" borderId="4" xfId="0" applyNumberFormat="1" applyFont="1" applyFill="1" applyBorder="1" applyAlignment="1">
      <alignment horizontal="center" vertical="center"/>
    </xf>
    <xf numFmtId="0" fontId="9" fillId="4" borderId="21" xfId="0" applyFont="1" applyFill="1" applyBorder="1" applyAlignment="1">
      <alignment horizontal="center" vertical="center"/>
    </xf>
    <xf numFmtId="0" fontId="9" fillId="4" borderId="7" xfId="0" applyFont="1" applyFill="1" applyBorder="1" applyAlignment="1">
      <alignment horizontal="center" vertical="center"/>
    </xf>
    <xf numFmtId="3" fontId="0" fillId="4" borderId="3" xfId="0" applyNumberFormat="1" applyFill="1" applyBorder="1" applyAlignment="1">
      <alignment horizontal="center" vertical="center"/>
    </xf>
    <xf numFmtId="3" fontId="0" fillId="4" borderId="7" xfId="0" applyNumberFormat="1" applyFill="1" applyBorder="1" applyAlignment="1">
      <alignment horizontal="center" vertical="center"/>
    </xf>
    <xf numFmtId="3" fontId="0" fillId="4" borderId="2" xfId="0" applyNumberFormat="1" applyFill="1" applyBorder="1" applyAlignment="1">
      <alignment horizontal="center" vertical="center"/>
    </xf>
    <xf numFmtId="3" fontId="0" fillId="4" borderId="1" xfId="0" applyNumberFormat="1" applyFill="1" applyBorder="1" applyAlignment="1">
      <alignment horizontal="center" vertical="center"/>
    </xf>
    <xf numFmtId="3" fontId="0" fillId="4" borderId="16" xfId="0" applyNumberFormat="1" applyFill="1" applyBorder="1" applyAlignment="1">
      <alignment horizontal="center" vertical="center"/>
    </xf>
    <xf numFmtId="0" fontId="9" fillId="4" borderId="1" xfId="0" applyFont="1" applyFill="1" applyBorder="1" applyAlignment="1">
      <alignment horizontal="center" vertical="center"/>
    </xf>
    <xf numFmtId="3" fontId="0" fillId="3" borderId="5" xfId="0" applyNumberFormat="1" applyFill="1" applyBorder="1" applyAlignment="1">
      <alignment horizontal="left" vertical="center"/>
    </xf>
    <xf numFmtId="3" fontId="0" fillId="3" borderId="6" xfId="0" applyNumberFormat="1" applyFill="1" applyBorder="1" applyAlignment="1">
      <alignment horizontal="left" vertical="center"/>
    </xf>
    <xf numFmtId="3" fontId="0" fillId="3" borderId="4" xfId="0" applyNumberFormat="1" applyFill="1" applyBorder="1" applyAlignment="1">
      <alignment horizontal="left" vertical="center"/>
    </xf>
    <xf numFmtId="3" fontId="5" fillId="3" borderId="5" xfId="0" applyNumberFormat="1" applyFont="1" applyFill="1" applyBorder="1" applyAlignment="1">
      <alignment horizontal="left" vertical="center"/>
    </xf>
    <xf numFmtId="3" fontId="5" fillId="3" borderId="6" xfId="0" applyNumberFormat="1" applyFont="1" applyFill="1" applyBorder="1" applyAlignment="1">
      <alignment horizontal="left" vertical="center"/>
    </xf>
    <xf numFmtId="3" fontId="5" fillId="3" borderId="4" xfId="0" applyNumberFormat="1" applyFont="1" applyFill="1" applyBorder="1" applyAlignment="1">
      <alignment horizontal="left" vertical="center"/>
    </xf>
    <xf numFmtId="3" fontId="0" fillId="19" borderId="5" xfId="0" applyNumberFormat="1" applyFill="1" applyBorder="1" applyAlignment="1" applyProtection="1">
      <alignment horizontal="left" vertical="center"/>
      <protection locked="0"/>
    </xf>
    <xf numFmtId="3" fontId="0" fillId="19" borderId="6" xfId="0" applyNumberFormat="1" applyFill="1" applyBorder="1" applyAlignment="1" applyProtection="1">
      <alignment horizontal="left" vertical="center"/>
      <protection locked="0"/>
    </xf>
    <xf numFmtId="3" fontId="0" fillId="19" borderId="4" xfId="0" applyNumberFormat="1" applyFill="1" applyBorder="1" applyAlignment="1" applyProtection="1">
      <alignment horizontal="left" vertical="center"/>
      <protection locked="0"/>
    </xf>
    <xf numFmtId="0" fontId="11" fillId="19" borderId="5" xfId="2" applyFont="1" applyFill="1" applyBorder="1" applyAlignment="1" applyProtection="1">
      <alignment horizontal="left" vertical="center"/>
      <protection locked="0"/>
    </xf>
    <xf numFmtId="0" fontId="11" fillId="19" borderId="6" xfId="2" applyFont="1" applyFill="1" applyBorder="1" applyAlignment="1" applyProtection="1">
      <alignment horizontal="left" vertical="center"/>
      <protection locked="0"/>
    </xf>
    <xf numFmtId="0" fontId="11" fillId="19" borderId="4" xfId="2" applyFont="1" applyFill="1" applyBorder="1" applyAlignment="1" applyProtection="1">
      <alignment horizontal="left" vertical="center"/>
      <protection locked="0"/>
    </xf>
    <xf numFmtId="3" fontId="0" fillId="3" borderId="5" xfId="0" applyNumberFormat="1" applyFill="1" applyBorder="1" applyAlignment="1" applyProtection="1">
      <alignment vertical="center"/>
      <protection locked="0"/>
    </xf>
    <xf numFmtId="3" fontId="0" fillId="3" borderId="6" xfId="0" applyNumberFormat="1" applyFill="1" applyBorder="1" applyAlignment="1" applyProtection="1">
      <alignment vertical="center"/>
      <protection locked="0"/>
    </xf>
    <xf numFmtId="3" fontId="0" fillId="3" borderId="4" xfId="0" applyNumberFormat="1" applyFill="1" applyBorder="1" applyAlignment="1" applyProtection="1">
      <alignment vertical="center"/>
      <protection locked="0"/>
    </xf>
    <xf numFmtId="3" fontId="0" fillId="0" borderId="5" xfId="0" applyNumberFormat="1" applyBorder="1" applyAlignment="1">
      <alignment vertical="center"/>
    </xf>
    <xf numFmtId="3" fontId="0" fillId="0" borderId="6" xfId="0" applyNumberFormat="1" applyBorder="1" applyAlignment="1">
      <alignment vertical="center"/>
    </xf>
    <xf numFmtId="3" fontId="0" fillId="0" borderId="4" xfId="0" applyNumberFormat="1" applyBorder="1" applyAlignment="1">
      <alignment vertical="center"/>
    </xf>
    <xf numFmtId="3" fontId="0" fillId="3" borderId="5" xfId="0" applyNumberFormat="1" applyFill="1" applyBorder="1" applyAlignment="1">
      <alignment horizontal="center" vertical="center"/>
    </xf>
    <xf numFmtId="3" fontId="0" fillId="3" borderId="4" xfId="0" applyNumberFormat="1" applyFill="1" applyBorder="1" applyAlignment="1">
      <alignment horizontal="center" vertical="center"/>
    </xf>
    <xf numFmtId="0" fontId="0" fillId="3" borderId="5" xfId="0" applyFill="1" applyBorder="1" applyAlignment="1">
      <alignment horizontal="center" vertical="center"/>
    </xf>
    <xf numFmtId="0" fontId="0" fillId="3" borderId="4" xfId="0" applyFill="1" applyBorder="1" applyAlignment="1">
      <alignment horizontal="center" vertical="center"/>
    </xf>
    <xf numFmtId="3" fontId="0" fillId="2" borderId="8" xfId="0" applyNumberFormat="1" applyFill="1" applyBorder="1" applyAlignment="1" applyProtection="1">
      <alignment horizontal="left" vertical="top" wrapText="1"/>
      <protection locked="0"/>
    </xf>
    <xf numFmtId="3" fontId="0" fillId="2" borderId="13" xfId="0" applyNumberFormat="1" applyFill="1" applyBorder="1" applyAlignment="1" applyProtection="1">
      <alignment horizontal="left" vertical="top" wrapText="1"/>
      <protection locked="0"/>
    </xf>
    <xf numFmtId="3" fontId="0" fillId="2" borderId="9" xfId="0" applyNumberFormat="1" applyFill="1" applyBorder="1" applyAlignment="1" applyProtection="1">
      <alignment horizontal="left" vertical="top" wrapText="1"/>
      <protection locked="0"/>
    </xf>
    <xf numFmtId="3" fontId="0" fillId="2" borderId="15" xfId="0" applyNumberFormat="1" applyFill="1" applyBorder="1" applyAlignment="1" applyProtection="1">
      <alignment horizontal="left" vertical="top" wrapText="1"/>
      <protection locked="0"/>
    </xf>
    <xf numFmtId="3" fontId="0" fillId="2" borderId="0" xfId="0" applyNumberFormat="1" applyFill="1" applyAlignment="1" applyProtection="1">
      <alignment horizontal="left" vertical="top" wrapText="1"/>
      <protection locked="0"/>
    </xf>
    <xf numFmtId="3" fontId="0" fillId="2" borderId="12" xfId="0" applyNumberFormat="1" applyFill="1" applyBorder="1" applyAlignment="1" applyProtection="1">
      <alignment horizontal="left" vertical="top" wrapText="1"/>
      <protection locked="0"/>
    </xf>
    <xf numFmtId="3" fontId="0" fillId="2" borderId="10" xfId="0" applyNumberFormat="1" applyFill="1" applyBorder="1" applyAlignment="1" applyProtection="1">
      <alignment horizontal="left" vertical="top" wrapText="1"/>
      <protection locked="0"/>
    </xf>
    <xf numFmtId="3" fontId="0" fillId="2" borderId="14" xfId="0" applyNumberFormat="1" applyFill="1" applyBorder="1" applyAlignment="1" applyProtection="1">
      <alignment horizontal="left" vertical="top" wrapText="1"/>
      <protection locked="0"/>
    </xf>
    <xf numFmtId="3" fontId="0" fillId="2" borderId="11" xfId="0" applyNumberFormat="1" applyFill="1" applyBorder="1" applyAlignment="1" applyProtection="1">
      <alignment horizontal="left" vertical="top" wrapText="1"/>
      <protection locked="0"/>
    </xf>
    <xf numFmtId="3" fontId="0" fillId="19" borderId="8" xfId="0" applyNumberFormat="1" applyFill="1" applyBorder="1" applyAlignment="1" applyProtection="1">
      <alignment horizontal="left" vertical="top" wrapText="1"/>
      <protection locked="0"/>
    </xf>
    <xf numFmtId="3" fontId="0" fillId="19" borderId="13" xfId="0" applyNumberFormat="1" applyFill="1" applyBorder="1" applyAlignment="1" applyProtection="1">
      <alignment horizontal="left" vertical="top" wrapText="1"/>
      <protection locked="0"/>
    </xf>
    <xf numFmtId="3" fontId="0" fillId="19" borderId="9" xfId="0" applyNumberFormat="1" applyFill="1" applyBorder="1" applyAlignment="1" applyProtection="1">
      <alignment horizontal="left" vertical="top" wrapText="1"/>
      <protection locked="0"/>
    </xf>
    <xf numFmtId="3" fontId="0" fillId="19" borderId="15" xfId="0" applyNumberFormat="1" applyFill="1" applyBorder="1" applyAlignment="1" applyProtection="1">
      <alignment horizontal="left" vertical="top" wrapText="1"/>
      <protection locked="0"/>
    </xf>
    <xf numFmtId="3" fontId="0" fillId="19" borderId="0" xfId="0" applyNumberFormat="1" applyFill="1" applyAlignment="1" applyProtection="1">
      <alignment horizontal="left" vertical="top" wrapText="1"/>
      <protection locked="0"/>
    </xf>
    <xf numFmtId="3" fontId="0" fillId="19" borderId="12" xfId="0" applyNumberFormat="1" applyFill="1" applyBorder="1" applyAlignment="1" applyProtection="1">
      <alignment horizontal="left" vertical="top" wrapText="1"/>
      <protection locked="0"/>
    </xf>
    <xf numFmtId="3" fontId="0" fillId="19" borderId="10" xfId="0" applyNumberFormat="1" applyFill="1" applyBorder="1" applyAlignment="1" applyProtection="1">
      <alignment horizontal="left" vertical="top" wrapText="1"/>
      <protection locked="0"/>
    </xf>
    <xf numFmtId="3" fontId="0" fillId="19" borderId="14" xfId="0" applyNumberFormat="1" applyFill="1" applyBorder="1" applyAlignment="1" applyProtection="1">
      <alignment horizontal="left" vertical="top" wrapText="1"/>
      <protection locked="0"/>
    </xf>
    <xf numFmtId="3" fontId="0" fillId="19" borderId="11" xfId="0" applyNumberFormat="1" applyFill="1" applyBorder="1" applyAlignment="1" applyProtection="1">
      <alignment horizontal="left" vertical="top" wrapText="1"/>
      <protection locked="0"/>
    </xf>
    <xf numFmtId="3" fontId="0" fillId="4" borderId="5" xfId="0" applyNumberFormat="1" applyFill="1" applyBorder="1" applyAlignment="1">
      <alignment horizontal="center" vertical="center" wrapText="1"/>
    </xf>
    <xf numFmtId="3" fontId="0" fillId="4" borderId="6" xfId="0" applyNumberFormat="1" applyFill="1" applyBorder="1" applyAlignment="1">
      <alignment horizontal="center" vertical="center" wrapText="1"/>
    </xf>
    <xf numFmtId="3" fontId="0" fillId="4" borderId="4" xfId="0" applyNumberFormat="1" applyFill="1" applyBorder="1" applyAlignment="1">
      <alignment horizontal="center" vertical="center" wrapText="1"/>
    </xf>
    <xf numFmtId="3" fontId="5" fillId="4" borderId="1" xfId="0" applyNumberFormat="1" applyFont="1" applyFill="1" applyBorder="1" applyAlignment="1">
      <alignment horizontal="center" vertical="center"/>
    </xf>
    <xf numFmtId="3" fontId="0" fillId="4" borderId="5" xfId="0" applyNumberFormat="1" applyFill="1" applyBorder="1" applyAlignment="1">
      <alignment horizontal="left" vertical="center"/>
    </xf>
    <xf numFmtId="3" fontId="0" fillId="4" borderId="4" xfId="0" applyNumberFormat="1" applyFill="1" applyBorder="1" applyAlignment="1">
      <alignment horizontal="left" vertical="center"/>
    </xf>
    <xf numFmtId="167" fontId="0" fillId="19" borderId="5" xfId="0" applyNumberFormat="1" applyFill="1" applyBorder="1" applyAlignment="1" applyProtection="1">
      <alignment vertical="center"/>
      <protection locked="0"/>
    </xf>
    <xf numFmtId="167" fontId="0" fillId="19" borderId="6" xfId="0" applyNumberFormat="1" applyFill="1" applyBorder="1" applyAlignment="1" applyProtection="1">
      <alignment vertical="center"/>
      <protection locked="0"/>
    </xf>
    <xf numFmtId="167" fontId="0" fillId="19" borderId="4" xfId="0" applyNumberFormat="1" applyFill="1" applyBorder="1" applyAlignment="1" applyProtection="1">
      <alignment vertical="center"/>
      <protection locked="0"/>
    </xf>
    <xf numFmtId="3" fontId="4" fillId="3" borderId="5" xfId="0" applyNumberFormat="1" applyFont="1" applyFill="1" applyBorder="1" applyAlignment="1" applyProtection="1">
      <alignment vertical="center"/>
      <protection locked="0"/>
    </xf>
    <xf numFmtId="3" fontId="4" fillId="3" borderId="6" xfId="0" applyNumberFormat="1" applyFont="1" applyFill="1" applyBorder="1" applyAlignment="1" applyProtection="1">
      <alignment vertical="center"/>
      <protection locked="0"/>
    </xf>
    <xf numFmtId="3" fontId="4" fillId="3" borderId="4" xfId="0" applyNumberFormat="1" applyFont="1" applyFill="1" applyBorder="1" applyAlignment="1" applyProtection="1">
      <alignment vertical="center"/>
      <protection locked="0"/>
    </xf>
    <xf numFmtId="3" fontId="0" fillId="6" borderId="3" xfId="0" applyNumberFormat="1" applyFill="1" applyBorder="1" applyAlignment="1">
      <alignment horizontal="center" vertical="center" wrapText="1"/>
    </xf>
    <xf numFmtId="3" fontId="0" fillId="6" borderId="7" xfId="0" applyNumberFormat="1" applyFill="1" applyBorder="1" applyAlignment="1">
      <alignment horizontal="center" vertical="center" wrapText="1"/>
    </xf>
    <xf numFmtId="3" fontId="0" fillId="6" borderId="2" xfId="0" applyNumberFormat="1" applyFill="1" applyBorder="1" applyAlignment="1">
      <alignment horizontal="center" vertical="center" wrapText="1"/>
    </xf>
    <xf numFmtId="15" fontId="5" fillId="4" borderId="3" xfId="0" applyNumberFormat="1" applyFont="1" applyFill="1" applyBorder="1" applyAlignment="1">
      <alignment horizontal="center" vertical="center" wrapText="1"/>
    </xf>
    <xf numFmtId="15" fontId="5" fillId="4" borderId="2"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3" fontId="11" fillId="15" borderId="3" xfId="0" applyNumberFormat="1" applyFont="1" applyFill="1" applyBorder="1" applyAlignment="1">
      <alignment horizontal="center" vertical="center" wrapText="1"/>
    </xf>
    <xf numFmtId="3" fontId="11" fillId="15" borderId="2" xfId="0" applyNumberFormat="1" applyFont="1" applyFill="1" applyBorder="1" applyAlignment="1">
      <alignment horizontal="center" vertical="center" wrapText="1"/>
    </xf>
    <xf numFmtId="3" fontId="0" fillId="4" borderId="1" xfId="0" applyNumberFormat="1" applyFill="1" applyBorder="1" applyAlignment="1">
      <alignment horizontal="center" vertical="center" wrapText="1"/>
    </xf>
    <xf numFmtId="167" fontId="0" fillId="19" borderId="17" xfId="0" applyNumberFormat="1" applyFill="1" applyBorder="1" applyAlignment="1" applyProtection="1">
      <alignment vertical="center"/>
      <protection locked="0"/>
    </xf>
    <xf numFmtId="167" fontId="0" fillId="19" borderId="18" xfId="0" applyNumberFormat="1" applyFill="1" applyBorder="1" applyAlignment="1" applyProtection="1">
      <alignment vertical="center"/>
      <protection locked="0"/>
    </xf>
    <xf numFmtId="167" fontId="0" fillId="19" borderId="19" xfId="0" applyNumberFormat="1" applyFill="1" applyBorder="1" applyAlignment="1" applyProtection="1">
      <alignment vertical="center"/>
      <protection locked="0"/>
    </xf>
    <xf numFmtId="3" fontId="4" fillId="3" borderId="22" xfId="0" applyNumberFormat="1" applyFont="1" applyFill="1" applyBorder="1" applyAlignment="1" applyProtection="1">
      <alignment horizontal="right" vertical="center"/>
      <protection locked="0"/>
    </xf>
    <xf numFmtId="3" fontId="4" fillId="3" borderId="23" xfId="0" applyNumberFormat="1" applyFont="1" applyFill="1" applyBorder="1" applyAlignment="1" applyProtection="1">
      <alignment horizontal="right" vertical="center"/>
      <protection locked="0"/>
    </xf>
    <xf numFmtId="3" fontId="4" fillId="3" borderId="24" xfId="0" applyNumberFormat="1" applyFont="1" applyFill="1" applyBorder="1" applyAlignment="1" applyProtection="1">
      <alignment horizontal="right" vertical="center"/>
      <protection locked="0"/>
    </xf>
    <xf numFmtId="3" fontId="4" fillId="3" borderId="5" xfId="0" applyNumberFormat="1" applyFont="1" applyFill="1" applyBorder="1" applyAlignment="1" applyProtection="1">
      <alignment horizontal="right" vertical="center"/>
      <protection locked="0"/>
    </xf>
    <xf numFmtId="3" fontId="4" fillId="3" borderId="6" xfId="0" applyNumberFormat="1" applyFont="1" applyFill="1" applyBorder="1" applyAlignment="1" applyProtection="1">
      <alignment horizontal="right" vertical="center"/>
      <protection locked="0"/>
    </xf>
    <xf numFmtId="3" fontId="4" fillId="3" borderId="4" xfId="0" applyNumberFormat="1" applyFont="1" applyFill="1" applyBorder="1" applyAlignment="1" applyProtection="1">
      <alignment horizontal="right" vertical="center"/>
      <protection locked="0"/>
    </xf>
    <xf numFmtId="3" fontId="4" fillId="0" borderId="5" xfId="0" applyNumberFormat="1" applyFont="1" applyBorder="1" applyAlignment="1">
      <alignment horizontal="right" vertical="center"/>
    </xf>
    <xf numFmtId="3" fontId="4" fillId="0" borderId="6" xfId="0" applyNumberFormat="1" applyFont="1" applyBorder="1" applyAlignment="1">
      <alignment horizontal="right" vertical="center"/>
    </xf>
    <xf numFmtId="3" fontId="4" fillId="0" borderId="4" xfId="0" applyNumberFormat="1" applyFont="1" applyBorder="1" applyAlignment="1">
      <alignment horizontal="right" vertical="center"/>
    </xf>
    <xf numFmtId="3" fontId="4" fillId="19" borderId="5" xfId="0" applyNumberFormat="1" applyFont="1" applyFill="1" applyBorder="1" applyAlignment="1" applyProtection="1">
      <alignment horizontal="right" vertical="center"/>
      <protection locked="0"/>
    </xf>
    <xf numFmtId="3" fontId="4" fillId="19" borderId="6" xfId="0" applyNumberFormat="1" applyFont="1" applyFill="1" applyBorder="1" applyAlignment="1" applyProtection="1">
      <alignment horizontal="right" vertical="center"/>
      <protection locked="0"/>
    </xf>
    <xf numFmtId="3" fontId="4" fillId="19" borderId="4" xfId="0" applyNumberFormat="1" applyFont="1" applyFill="1" applyBorder="1" applyAlignment="1" applyProtection="1">
      <alignment horizontal="right" vertical="center"/>
      <protection locked="0"/>
    </xf>
    <xf numFmtId="3" fontId="4" fillId="3" borderId="8" xfId="0" applyNumberFormat="1" applyFont="1" applyFill="1" applyBorder="1" applyAlignment="1" applyProtection="1">
      <alignment horizontal="right" vertical="center"/>
      <protection locked="0"/>
    </xf>
    <xf numFmtId="3" fontId="4" fillId="3" borderId="13" xfId="0" applyNumberFormat="1" applyFont="1" applyFill="1" applyBorder="1" applyAlignment="1" applyProtection="1">
      <alignment horizontal="right" vertical="center"/>
      <protection locked="0"/>
    </xf>
    <xf numFmtId="3" fontId="4" fillId="3" borderId="9" xfId="0" applyNumberFormat="1" applyFont="1" applyFill="1" applyBorder="1" applyAlignment="1" applyProtection="1">
      <alignment horizontal="right" vertical="center"/>
      <protection locked="0"/>
    </xf>
    <xf numFmtId="3" fontId="0" fillId="6" borderId="1" xfId="0" applyNumberFormat="1" applyFill="1" applyBorder="1" applyAlignment="1">
      <alignment horizontal="center" vertical="center" wrapText="1"/>
    </xf>
    <xf numFmtId="3" fontId="0" fillId="4" borderId="1" xfId="0" applyNumberFormat="1" applyFill="1" applyBorder="1" applyAlignment="1">
      <alignment vertical="center"/>
    </xf>
    <xf numFmtId="3" fontId="5" fillId="4" borderId="21" xfId="0" applyNumberFormat="1" applyFont="1" applyFill="1" applyBorder="1" applyAlignment="1">
      <alignment horizontal="center" vertical="center" textRotation="90" wrapText="1"/>
    </xf>
    <xf numFmtId="3" fontId="5" fillId="4" borderId="7" xfId="0" applyNumberFormat="1" applyFont="1" applyFill="1" applyBorder="1" applyAlignment="1">
      <alignment horizontal="center" vertical="center" textRotation="90" wrapText="1"/>
    </xf>
    <xf numFmtId="3" fontId="5" fillId="4" borderId="2" xfId="0" applyNumberFormat="1" applyFont="1" applyFill="1" applyBorder="1" applyAlignment="1">
      <alignment horizontal="center" vertical="center" textRotation="90" wrapText="1"/>
    </xf>
    <xf numFmtId="3" fontId="5" fillId="4" borderId="3" xfId="0" applyNumberFormat="1" applyFont="1" applyFill="1" applyBorder="1" applyAlignment="1">
      <alignment horizontal="center" vertical="center" textRotation="90" wrapText="1"/>
    </xf>
    <xf numFmtId="3" fontId="5" fillId="4" borderId="25" xfId="0" applyNumberFormat="1" applyFont="1" applyFill="1" applyBorder="1" applyAlignment="1">
      <alignment horizontal="center" vertical="center" textRotation="90" wrapText="1"/>
    </xf>
    <xf numFmtId="3" fontId="0" fillId="3" borderId="10" xfId="0" applyNumberFormat="1" applyFill="1" applyBorder="1" applyAlignment="1">
      <alignment horizontal="left" vertical="center"/>
    </xf>
    <xf numFmtId="3" fontId="0" fillId="3" borderId="11" xfId="0" applyNumberFormat="1" applyFill="1" applyBorder="1" applyAlignment="1">
      <alignment horizontal="left" vertical="center"/>
    </xf>
    <xf numFmtId="15" fontId="0" fillId="4" borderId="3" xfId="0" applyNumberFormat="1" applyFill="1" applyBorder="1" applyAlignment="1">
      <alignment horizontal="center" vertical="center" wrapText="1"/>
    </xf>
    <xf numFmtId="15" fontId="0" fillId="4" borderId="7" xfId="0" applyNumberFormat="1" applyFill="1" applyBorder="1" applyAlignment="1">
      <alignment horizontal="center" vertical="center" wrapText="1"/>
    </xf>
    <xf numFmtId="15" fontId="0" fillId="4" borderId="2" xfId="0" applyNumberFormat="1" applyFill="1" applyBorder="1" applyAlignment="1">
      <alignment horizontal="center" vertical="center" wrapText="1"/>
    </xf>
    <xf numFmtId="15" fontId="0" fillId="4" borderId="1" xfId="0" applyNumberFormat="1" applyFill="1" applyBorder="1" applyAlignment="1">
      <alignment horizontal="center" vertical="center" wrapText="1"/>
    </xf>
    <xf numFmtId="166" fontId="0" fillId="4" borderId="1" xfId="1" applyNumberFormat="1" applyFont="1" applyFill="1" applyBorder="1" applyAlignment="1" applyProtection="1">
      <alignment horizontal="center" vertical="center" wrapText="1"/>
    </xf>
    <xf numFmtId="0" fontId="4" fillId="3" borderId="5" xfId="2" applyFont="1" applyFill="1" applyBorder="1" applyAlignment="1" applyProtection="1">
      <alignment horizontal="left" vertical="center"/>
      <protection locked="0"/>
    </xf>
    <xf numFmtId="0" fontId="4" fillId="3" borderId="6" xfId="2" applyFont="1" applyFill="1" applyBorder="1" applyAlignment="1" applyProtection="1">
      <alignment horizontal="left" vertical="center"/>
      <protection locked="0"/>
    </xf>
    <xf numFmtId="0" fontId="4" fillId="3" borderId="4" xfId="2" applyFont="1" applyFill="1" applyBorder="1" applyAlignment="1" applyProtection="1">
      <alignment horizontal="left" vertical="center"/>
      <protection locked="0"/>
    </xf>
    <xf numFmtId="3" fontId="4" fillId="3" borderId="10" xfId="0" applyNumberFormat="1" applyFont="1" applyFill="1" applyBorder="1" applyAlignment="1" applyProtection="1">
      <alignment vertical="center"/>
      <protection locked="0"/>
    </xf>
    <xf numFmtId="3" fontId="4" fillId="3" borderId="14" xfId="0" applyNumberFormat="1" applyFont="1" applyFill="1" applyBorder="1" applyAlignment="1" applyProtection="1">
      <alignment vertical="center"/>
      <protection locked="0"/>
    </xf>
    <xf numFmtId="3" fontId="4" fillId="3" borderId="11" xfId="0" applyNumberFormat="1" applyFont="1" applyFill="1" applyBorder="1" applyAlignment="1" applyProtection="1">
      <alignment vertical="center"/>
      <protection locked="0"/>
    </xf>
    <xf numFmtId="3" fontId="5" fillId="3" borderId="1" xfId="0" applyNumberFormat="1" applyFont="1" applyFill="1" applyBorder="1" applyAlignment="1">
      <alignment horizontal="center" vertical="center"/>
    </xf>
    <xf numFmtId="0" fontId="4" fillId="2" borderId="5" xfId="2" applyFont="1" applyFill="1" applyBorder="1" applyAlignment="1" applyProtection="1">
      <alignment horizontal="center" vertical="center"/>
      <protection locked="0"/>
    </xf>
    <xf numFmtId="0" fontId="4" fillId="2" borderId="6" xfId="2" applyFont="1" applyFill="1" applyBorder="1" applyAlignment="1" applyProtection="1">
      <alignment horizontal="center" vertical="center"/>
      <protection locked="0"/>
    </xf>
    <xf numFmtId="0" fontId="4" fillId="2" borderId="4" xfId="2" applyFont="1" applyFill="1" applyBorder="1" applyAlignment="1" applyProtection="1">
      <alignment horizontal="center" vertical="center"/>
      <protection locked="0"/>
    </xf>
    <xf numFmtId="0" fontId="4" fillId="3" borderId="5" xfId="2" applyFont="1" applyFill="1" applyBorder="1" applyAlignment="1" applyProtection="1">
      <alignment horizontal="center" vertical="center"/>
      <protection locked="0"/>
    </xf>
    <xf numFmtId="0" fontId="4" fillId="3" borderId="6" xfId="2" applyFont="1" applyFill="1" applyBorder="1" applyAlignment="1" applyProtection="1">
      <alignment horizontal="center" vertical="center"/>
      <protection locked="0"/>
    </xf>
    <xf numFmtId="0" fontId="4" fillId="3" borderId="4" xfId="2" applyFont="1" applyFill="1" applyBorder="1" applyAlignment="1" applyProtection="1">
      <alignment horizontal="center" vertical="center"/>
      <protection locked="0"/>
    </xf>
    <xf numFmtId="0" fontId="11" fillId="2" borderId="5" xfId="2" applyFont="1" applyFill="1" applyBorder="1" applyAlignment="1" applyProtection="1">
      <alignment horizontal="left" vertical="center"/>
      <protection locked="0"/>
    </xf>
    <xf numFmtId="0" fontId="11" fillId="2" borderId="6" xfId="2" applyFont="1" applyFill="1" applyBorder="1" applyAlignment="1" applyProtection="1">
      <alignment horizontal="left" vertical="center"/>
      <protection locked="0"/>
    </xf>
    <xf numFmtId="0" fontId="11" fillId="2" borderId="4" xfId="2" applyFont="1" applyFill="1" applyBorder="1" applyAlignment="1" applyProtection="1">
      <alignment horizontal="left" vertical="center"/>
      <protection locked="0"/>
    </xf>
    <xf numFmtId="167" fontId="0" fillId="3" borderId="5" xfId="0" applyNumberFormat="1" applyFill="1" applyBorder="1" applyAlignment="1" applyProtection="1">
      <alignment vertical="center"/>
      <protection locked="0"/>
    </xf>
    <xf numFmtId="167" fontId="0" fillId="3" borderId="6" xfId="0" applyNumberFormat="1" applyFill="1" applyBorder="1" applyAlignment="1" applyProtection="1">
      <alignment vertical="center"/>
      <protection locked="0"/>
    </xf>
    <xf numFmtId="167" fontId="0" fillId="3" borderId="4" xfId="0" applyNumberFormat="1" applyFill="1" applyBorder="1" applyAlignment="1" applyProtection="1">
      <alignment vertical="center"/>
      <protection locked="0"/>
    </xf>
    <xf numFmtId="3" fontId="0" fillId="4" borderId="3" xfId="0" applyNumberFormat="1" applyFill="1" applyBorder="1" applyAlignment="1">
      <alignment horizontal="center" vertical="center" wrapText="1"/>
    </xf>
    <xf numFmtId="3" fontId="0" fillId="4" borderId="7" xfId="0" applyNumberFormat="1" applyFill="1" applyBorder="1" applyAlignment="1">
      <alignment horizontal="center" vertical="center" wrapText="1"/>
    </xf>
    <xf numFmtId="3" fontId="0" fillId="4" borderId="2" xfId="0" applyNumberFormat="1" applyFill="1" applyBorder="1" applyAlignment="1">
      <alignment horizontal="center" vertical="center" wrapText="1"/>
    </xf>
    <xf numFmtId="3" fontId="11" fillId="12" borderId="3" xfId="0" applyNumberFormat="1" applyFont="1" applyFill="1" applyBorder="1" applyAlignment="1">
      <alignment horizontal="center" vertical="center" wrapText="1"/>
    </xf>
    <xf numFmtId="3" fontId="11" fillId="12" borderId="7" xfId="0" applyNumberFormat="1" applyFont="1" applyFill="1" applyBorder="1" applyAlignment="1">
      <alignment horizontal="center" vertical="center" wrapText="1"/>
    </xf>
    <xf numFmtId="3" fontId="11" fillId="12" borderId="2" xfId="0" applyNumberFormat="1" applyFont="1" applyFill="1" applyBorder="1" applyAlignment="1">
      <alignment horizontal="center" vertical="center" wrapText="1"/>
    </xf>
    <xf numFmtId="3" fontId="0" fillId="4" borderId="22" xfId="0" applyNumberFormat="1" applyFill="1" applyBorder="1" applyAlignment="1">
      <alignment vertical="center"/>
    </xf>
    <xf numFmtId="3" fontId="0" fillId="4" borderId="24" xfId="0" applyNumberFormat="1" applyFill="1" applyBorder="1" applyAlignment="1">
      <alignment vertical="center"/>
    </xf>
    <xf numFmtId="3" fontId="0" fillId="4" borderId="5" xfId="0" applyNumberFormat="1" applyFill="1" applyBorder="1" applyAlignment="1">
      <alignment vertical="center"/>
    </xf>
    <xf numFmtId="3" fontId="0" fillId="4" borderId="4" xfId="0" applyNumberFormat="1" applyFill="1" applyBorder="1" applyAlignment="1">
      <alignment vertical="center"/>
    </xf>
    <xf numFmtId="3" fontId="4" fillId="14" borderId="7" xfId="0" applyNumberFormat="1" applyFont="1" applyFill="1" applyBorder="1" applyAlignment="1">
      <alignment horizontal="center" vertical="center" wrapText="1"/>
    </xf>
    <xf numFmtId="3" fontId="4" fillId="14" borderId="2" xfId="0" applyNumberFormat="1" applyFont="1" applyFill="1" applyBorder="1" applyAlignment="1">
      <alignment horizontal="center" vertical="center" wrapText="1"/>
    </xf>
    <xf numFmtId="3" fontId="0" fillId="4" borderId="8" xfId="0" applyNumberFormat="1" applyFill="1" applyBorder="1" applyAlignment="1">
      <alignment horizontal="center" vertical="center" wrapText="1"/>
    </xf>
    <xf numFmtId="3" fontId="0" fillId="4" borderId="9" xfId="0" applyNumberFormat="1" applyFill="1" applyBorder="1" applyAlignment="1">
      <alignment horizontal="center" vertical="center" wrapText="1"/>
    </xf>
    <xf numFmtId="3" fontId="0" fillId="4" borderId="15" xfId="0" applyNumberFormat="1" applyFill="1" applyBorder="1" applyAlignment="1">
      <alignment horizontal="center" vertical="center" wrapText="1"/>
    </xf>
    <xf numFmtId="3" fontId="0" fillId="4" borderId="12" xfId="0" applyNumberFormat="1" applyFill="1" applyBorder="1" applyAlignment="1">
      <alignment horizontal="center" vertical="center" wrapText="1"/>
    </xf>
    <xf numFmtId="3" fontId="0" fillId="4" borderId="10" xfId="0" applyNumberFormat="1" applyFill="1" applyBorder="1" applyAlignment="1">
      <alignment horizontal="center" vertical="center" wrapText="1"/>
    </xf>
    <xf numFmtId="3" fontId="0" fillId="4" borderId="11" xfId="0" applyNumberFormat="1" applyFill="1" applyBorder="1" applyAlignment="1">
      <alignment horizontal="center" vertical="center" wrapText="1"/>
    </xf>
    <xf numFmtId="3" fontId="0" fillId="4" borderId="29" xfId="0" applyNumberFormat="1" applyFill="1" applyBorder="1" applyAlignment="1">
      <alignment horizontal="center" vertical="center" wrapText="1"/>
    </xf>
    <xf numFmtId="3" fontId="0" fillId="4" borderId="30" xfId="0" applyNumberFormat="1" applyFill="1" applyBorder="1" applyAlignment="1">
      <alignment horizontal="center" vertical="center" wrapText="1"/>
    </xf>
    <xf numFmtId="3" fontId="0" fillId="4" borderId="31" xfId="0" applyNumberFormat="1" applyFill="1" applyBorder="1" applyAlignment="1">
      <alignment horizontal="center" vertical="center" wrapText="1"/>
    </xf>
    <xf numFmtId="3" fontId="0" fillId="4" borderId="32" xfId="0" applyNumberFormat="1" applyFill="1" applyBorder="1" applyAlignment="1">
      <alignment horizontal="center" vertical="center" wrapText="1"/>
    </xf>
    <xf numFmtId="15" fontId="0" fillId="2" borderId="21" xfId="0" applyNumberFormat="1" applyFill="1" applyBorder="1" applyAlignment="1" applyProtection="1">
      <alignment horizontal="center" vertical="center"/>
      <protection locked="0"/>
    </xf>
    <xf numFmtId="15" fontId="0" fillId="2" borderId="2" xfId="0" applyNumberFormat="1" applyFill="1" applyBorder="1" applyAlignment="1" applyProtection="1">
      <alignment horizontal="center" vertical="center"/>
      <protection locked="0"/>
    </xf>
    <xf numFmtId="15" fontId="0" fillId="2" borderId="3" xfId="0" applyNumberFormat="1" applyFill="1" applyBorder="1" applyAlignment="1" applyProtection="1">
      <alignment horizontal="center" vertical="center"/>
      <protection locked="0"/>
    </xf>
    <xf numFmtId="0" fontId="9" fillId="4" borderId="3"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2" xfId="0" applyFont="1" applyFill="1" applyBorder="1" applyAlignment="1">
      <alignment horizontal="center" vertical="center"/>
    </xf>
    <xf numFmtId="9" fontId="4" fillId="12" borderId="7" xfId="1" applyFont="1" applyFill="1" applyBorder="1" applyAlignment="1" applyProtection="1">
      <alignment horizontal="center" vertical="center" wrapText="1"/>
    </xf>
    <xf numFmtId="9" fontId="4" fillId="12" borderId="2" xfId="1" applyFont="1" applyFill="1" applyBorder="1" applyAlignment="1" applyProtection="1">
      <alignment horizontal="center" vertical="center" wrapText="1"/>
    </xf>
    <xf numFmtId="9" fontId="4" fillId="16" borderId="3" xfId="1" applyFont="1" applyFill="1" applyBorder="1" applyAlignment="1">
      <alignment horizontal="center" vertical="center" wrapText="1"/>
    </xf>
    <xf numFmtId="9" fontId="4" fillId="16" borderId="2" xfId="1" applyFont="1" applyFill="1" applyBorder="1" applyAlignment="1">
      <alignment horizontal="center" vertical="center" wrapText="1"/>
    </xf>
    <xf numFmtId="3" fontId="5" fillId="21" borderId="1" xfId="0" applyNumberFormat="1" applyFont="1" applyFill="1" applyBorder="1" applyAlignment="1" applyProtection="1">
      <alignment horizontal="center" vertical="center"/>
      <protection locked="0"/>
    </xf>
    <xf numFmtId="3" fontId="0" fillId="4" borderId="16" xfId="0" applyNumberFormat="1" applyFill="1" applyBorder="1" applyAlignment="1">
      <alignment vertical="center"/>
    </xf>
    <xf numFmtId="3" fontId="0" fillId="4" borderId="20" xfId="0" applyNumberFormat="1" applyFill="1" applyBorder="1" applyAlignment="1">
      <alignment vertical="center"/>
    </xf>
    <xf numFmtId="3" fontId="5" fillId="18" borderId="1" xfId="0" applyNumberFormat="1" applyFont="1" applyFill="1" applyBorder="1" applyAlignment="1" applyProtection="1">
      <alignment horizontal="center" vertical="center"/>
      <protection locked="0"/>
    </xf>
    <xf numFmtId="3" fontId="10" fillId="0" borderId="2" xfId="0" applyNumberFormat="1" applyFont="1" applyBorder="1" applyAlignment="1">
      <alignment horizontal="justify" vertical="center" wrapText="1"/>
    </xf>
    <xf numFmtId="3" fontId="13" fillId="0" borderId="1" xfId="0" applyNumberFormat="1" applyFont="1" applyBorder="1" applyAlignment="1" applyProtection="1">
      <alignment horizontal="justify" vertical="center" wrapText="1"/>
      <protection locked="0"/>
    </xf>
    <xf numFmtId="3" fontId="4" fillId="10" borderId="1" xfId="0" applyNumberFormat="1" applyFont="1" applyFill="1" applyBorder="1" applyAlignment="1">
      <alignment horizontal="justify" vertical="center" wrapText="1"/>
    </xf>
    <xf numFmtId="3" fontId="4" fillId="4" borderId="1" xfId="0" applyNumberFormat="1" applyFont="1" applyFill="1" applyBorder="1" applyAlignment="1">
      <alignment horizontal="center" vertical="center" wrapText="1"/>
    </xf>
    <xf numFmtId="3" fontId="4" fillId="2" borderId="1" xfId="0" applyNumberFormat="1" applyFont="1" applyFill="1" applyBorder="1" applyAlignment="1">
      <alignment horizontal="justify" vertical="center" wrapText="1"/>
    </xf>
    <xf numFmtId="3" fontId="4" fillId="3" borderId="1" xfId="0" applyNumberFormat="1" applyFont="1" applyFill="1" applyBorder="1" applyAlignment="1">
      <alignment horizontal="justify" vertical="center" wrapText="1"/>
    </xf>
    <xf numFmtId="3" fontId="0" fillId="11" borderId="1" xfId="0" applyNumberFormat="1" applyFill="1" applyBorder="1" applyAlignment="1" applyProtection="1">
      <alignment horizontal="justify" vertical="center" wrapText="1"/>
      <protection locked="0"/>
    </xf>
    <xf numFmtId="3" fontId="7" fillId="5" borderId="1" xfId="0" applyNumberFormat="1" applyFont="1" applyFill="1" applyBorder="1" applyAlignment="1">
      <alignment horizontal="justify" vertical="center" wrapText="1"/>
    </xf>
    <xf numFmtId="3" fontId="4" fillId="8" borderId="1" xfId="0" applyNumberFormat="1" applyFont="1" applyFill="1" applyBorder="1" applyAlignment="1">
      <alignment horizontal="justify" vertical="center" wrapText="1"/>
    </xf>
    <xf numFmtId="3" fontId="4" fillId="7" borderId="4" xfId="0" applyNumberFormat="1" applyFont="1" applyFill="1" applyBorder="1" applyAlignment="1">
      <alignment horizontal="justify" vertical="center" wrapText="1"/>
    </xf>
    <xf numFmtId="3" fontId="4" fillId="7" borderId="1" xfId="0" applyNumberFormat="1" applyFont="1" applyFill="1" applyBorder="1" applyAlignment="1">
      <alignment horizontal="justify" vertical="center" wrapText="1"/>
    </xf>
    <xf numFmtId="3" fontId="4" fillId="9" borderId="1" xfId="0" applyNumberFormat="1" applyFont="1" applyFill="1" applyBorder="1" applyAlignment="1">
      <alignment horizontal="justify" vertical="center" wrapText="1"/>
    </xf>
    <xf numFmtId="3" fontId="0" fillId="4" borderId="13" xfId="0" applyNumberFormat="1" applyFill="1" applyBorder="1" applyAlignment="1">
      <alignment horizontal="center" vertical="center" wrapText="1"/>
    </xf>
    <xf numFmtId="3" fontId="0" fillId="4" borderId="14" xfId="0" applyNumberFormat="1" applyFill="1" applyBorder="1" applyAlignment="1">
      <alignment horizontal="center" vertical="center" wrapText="1"/>
    </xf>
    <xf numFmtId="3" fontId="0" fillId="4" borderId="26" xfId="0" applyNumberFormat="1" applyFill="1" applyBorder="1" applyAlignment="1">
      <alignment horizontal="center" vertical="center"/>
    </xf>
    <xf numFmtId="3" fontId="0" fillId="4" borderId="27" xfId="0" applyNumberFormat="1" applyFill="1" applyBorder="1" applyAlignment="1">
      <alignment horizontal="center" vertical="center"/>
    </xf>
    <xf numFmtId="3" fontId="0" fillId="4" borderId="28" xfId="0" applyNumberFormat="1" applyFill="1" applyBorder="1" applyAlignment="1">
      <alignment horizontal="center" vertical="center"/>
    </xf>
    <xf numFmtId="3" fontId="0" fillId="4" borderId="21" xfId="0" applyNumberFormat="1" applyFill="1" applyBorder="1" applyAlignment="1">
      <alignment horizontal="center" vertical="center" wrapText="1"/>
    </xf>
    <xf numFmtId="3" fontId="0" fillId="6" borderId="8" xfId="0" applyNumberFormat="1" applyFill="1" applyBorder="1" applyAlignment="1">
      <alignment horizontal="center" vertical="center" wrapText="1"/>
    </xf>
    <xf numFmtId="3" fontId="0" fillId="6" borderId="9" xfId="0" applyNumberFormat="1" applyFill="1" applyBorder="1" applyAlignment="1">
      <alignment horizontal="center" vertical="center" wrapText="1"/>
    </xf>
    <xf numFmtId="3" fontId="0" fillId="6" borderId="10" xfId="0" applyNumberFormat="1" applyFill="1" applyBorder="1" applyAlignment="1">
      <alignment horizontal="center" vertical="center" wrapText="1"/>
    </xf>
    <xf numFmtId="3" fontId="0" fillId="6" borderId="11" xfId="0" applyNumberFormat="1" applyFill="1" applyBorder="1" applyAlignment="1">
      <alignment horizontal="center" vertical="center" wrapText="1"/>
    </xf>
    <xf numFmtId="3" fontId="11" fillId="11" borderId="1" xfId="0" applyNumberFormat="1" applyFont="1" applyFill="1" applyBorder="1" applyAlignment="1">
      <alignment horizontal="center" vertical="center" wrapText="1"/>
    </xf>
    <xf numFmtId="10" fontId="11" fillId="0" borderId="1" xfId="1" applyNumberFormat="1" applyFont="1" applyBorder="1" applyAlignment="1" applyProtection="1">
      <alignment horizontal="center" vertical="center"/>
    </xf>
    <xf numFmtId="3" fontId="11" fillId="11" borderId="1" xfId="0" applyNumberFormat="1" applyFont="1" applyFill="1" applyBorder="1" applyAlignment="1">
      <alignment vertical="center"/>
    </xf>
    <xf numFmtId="3" fontId="0" fillId="4" borderId="16" xfId="0" applyNumberFormat="1" applyFill="1" applyBorder="1" applyAlignment="1">
      <alignment horizontal="center" vertical="center" wrapText="1"/>
    </xf>
    <xf numFmtId="15" fontId="0" fillId="2" borderId="5" xfId="0" applyNumberFormat="1" applyFill="1" applyBorder="1" applyAlignment="1" applyProtection="1">
      <alignment horizontal="center" vertical="center"/>
      <protection locked="0"/>
    </xf>
    <xf numFmtId="15" fontId="0" fillId="2" borderId="17" xfId="0" applyNumberFormat="1" applyFill="1" applyBorder="1" applyAlignment="1" applyProtection="1">
      <alignment horizontal="center" vertical="center"/>
      <protection locked="0"/>
    </xf>
    <xf numFmtId="3" fontId="4" fillId="12" borderId="3" xfId="0" applyNumberFormat="1" applyFont="1" applyFill="1" applyBorder="1" applyAlignment="1">
      <alignment horizontal="center" vertical="center" wrapText="1"/>
    </xf>
    <xf numFmtId="3" fontId="4" fillId="12" borderId="2" xfId="0" applyNumberFormat="1" applyFont="1" applyFill="1" applyBorder="1" applyAlignment="1">
      <alignment horizontal="center" vertical="center" wrapText="1"/>
    </xf>
    <xf numFmtId="3" fontId="4" fillId="13" borderId="3" xfId="0" applyNumberFormat="1" applyFont="1" applyFill="1" applyBorder="1" applyAlignment="1">
      <alignment horizontal="center" vertical="center" wrapText="1"/>
    </xf>
    <xf numFmtId="3" fontId="4" fillId="13" borderId="2" xfId="0" applyNumberFormat="1" applyFont="1" applyFill="1" applyBorder="1" applyAlignment="1">
      <alignment horizontal="center" vertical="center" wrapText="1"/>
    </xf>
    <xf numFmtId="9" fontId="0" fillId="6" borderId="3" xfId="1" applyFont="1" applyFill="1" applyBorder="1" applyAlignment="1" applyProtection="1">
      <alignment horizontal="center" vertical="center" wrapText="1"/>
    </xf>
    <xf numFmtId="9" fontId="0" fillId="6" borderId="2" xfId="1" applyFont="1" applyFill="1" applyBorder="1" applyAlignment="1" applyProtection="1">
      <alignment horizontal="center" vertical="center" wrapText="1"/>
    </xf>
    <xf numFmtId="9" fontId="1" fillId="6" borderId="7" xfId="1" applyFont="1" applyFill="1" applyBorder="1" applyAlignment="1" applyProtection="1">
      <alignment horizontal="center" vertical="center" wrapText="1"/>
    </xf>
    <xf numFmtId="9" fontId="1" fillId="6" borderId="2" xfId="1" applyFont="1" applyFill="1" applyBorder="1" applyAlignment="1" applyProtection="1">
      <alignment horizontal="center" vertical="center" wrapText="1"/>
    </xf>
    <xf numFmtId="15" fontId="0" fillId="2" borderId="1" xfId="0" applyNumberFormat="1" applyFill="1" applyBorder="1" applyAlignment="1" applyProtection="1">
      <alignment horizontal="center" vertical="center"/>
      <protection locked="0"/>
    </xf>
  </cellXfs>
  <cellStyles count="12">
    <cellStyle name="Euro" xfId="3" xr:uid="{00000000-0005-0000-0000-000000000000}"/>
    <cellStyle name="Millares" xfId="11" builtinId="3"/>
    <cellStyle name="Millares 2" xfId="4" xr:uid="{00000000-0005-0000-0000-000001000000}"/>
    <cellStyle name="Moneda 2" xfId="5" xr:uid="{00000000-0005-0000-0000-000002000000}"/>
    <cellStyle name="Moneda 3" xfId="6" xr:uid="{00000000-0005-0000-0000-000003000000}"/>
    <cellStyle name="Normal" xfId="0" builtinId="0"/>
    <cellStyle name="Normal 2" xfId="2" xr:uid="{00000000-0005-0000-0000-000005000000}"/>
    <cellStyle name="Normal 3" xfId="7" xr:uid="{00000000-0005-0000-0000-000006000000}"/>
    <cellStyle name="Normal 4" xfId="8" xr:uid="{00000000-0005-0000-0000-000007000000}"/>
    <cellStyle name="Porcentaje" xfId="1" builtinId="5"/>
    <cellStyle name="Porcentaje 2" xfId="9" xr:uid="{00000000-0005-0000-0000-000009000000}"/>
    <cellStyle name="Porcentual 2" xfId="10" xr:uid="{00000000-0005-0000-0000-00000A000000}"/>
  </cellStyles>
  <dxfs count="110">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0066"/>
        </patternFill>
      </fill>
    </dxf>
    <dxf>
      <font>
        <b/>
        <i val="0"/>
        <color rgb="FFFF0000"/>
      </font>
      <fill>
        <patternFill>
          <bgColor rgb="FFFFFF00"/>
        </patternFill>
      </fill>
    </dxf>
    <dxf>
      <fill>
        <patternFill>
          <bgColor rgb="FFFF0066"/>
        </patternFill>
      </fill>
    </dxf>
    <dxf>
      <font>
        <b/>
        <i val="0"/>
        <color rgb="FFFF0000"/>
      </font>
      <fill>
        <patternFill>
          <bgColor rgb="FFFFFF00"/>
        </patternFill>
      </fill>
    </dxf>
    <dxf>
      <fill>
        <patternFill>
          <bgColor rgb="FFFF0066"/>
        </patternFill>
      </fill>
    </dxf>
    <dxf>
      <font>
        <b/>
        <i val="0"/>
        <color rgb="FFFF0000"/>
      </font>
      <fill>
        <patternFill>
          <bgColor rgb="FFFFFF00"/>
        </patternFill>
      </fill>
    </dxf>
    <dxf>
      <fill>
        <patternFill>
          <bgColor rgb="FFFF0066"/>
        </patternFill>
      </fill>
    </dxf>
    <dxf>
      <font>
        <b/>
        <i val="0"/>
        <color rgb="FFFF0000"/>
      </font>
      <fill>
        <patternFill>
          <bgColor rgb="FFFFFF00"/>
        </patternFill>
      </fill>
    </dxf>
    <dxf>
      <fill>
        <gradientFill degree="90">
          <stop position="0">
            <color theme="9" tint="0.59999389629810485"/>
          </stop>
          <stop position="1">
            <color theme="7" tint="0.40000610370189521"/>
          </stop>
        </gradient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patternFill>
          <bgColor rgb="FFFF0066"/>
        </patternFill>
      </fill>
    </dxf>
    <dxf>
      <fill>
        <gradientFill degree="90">
          <stop position="0">
            <color theme="9" tint="0.59999389629810485"/>
          </stop>
          <stop position="1">
            <color theme="7" tint="0.40000610370189521"/>
          </stop>
        </gradientFill>
      </fill>
      <border>
        <left style="thin">
          <color auto="1"/>
        </left>
        <right style="thin">
          <color auto="1"/>
        </right>
        <top style="thin">
          <color auto="1"/>
        </top>
        <bottom style="thin">
          <color auto="1"/>
        </bottom>
        <vertical/>
        <horizontal/>
      </border>
    </dxf>
    <dxf>
      <fill>
        <patternFill>
          <bgColor rgb="FFFF0066"/>
        </patternFill>
      </fill>
    </dxf>
    <dxf>
      <fill>
        <patternFill>
          <bgColor rgb="FFFF0066"/>
        </patternFill>
      </fill>
    </dxf>
    <dxf>
      <fill>
        <patternFill patternType="lightTrellis">
          <fgColor theme="0" tint="-0.24994659260841701"/>
        </patternFill>
      </fill>
      <border>
        <left/>
        <right/>
        <top style="thin">
          <color auto="1"/>
        </top>
        <bottom/>
        <vertical/>
        <horizontal/>
      </border>
    </dxf>
    <dxf>
      <fill>
        <patternFill>
          <bgColor rgb="FFFF0066"/>
        </patternFill>
      </fill>
    </dxf>
    <dxf>
      <fill>
        <patternFill>
          <bgColor rgb="FFFF0066"/>
        </patternFill>
      </fill>
    </dxf>
    <dxf>
      <font>
        <b/>
        <i val="0"/>
        <color rgb="FFFF0000"/>
      </font>
      <fill>
        <patternFill>
          <bgColor rgb="FFFFFF00"/>
        </patternFill>
      </fill>
    </dxf>
    <dxf>
      <fill>
        <patternFill>
          <bgColor rgb="FFFF0066"/>
        </patternFill>
      </fill>
    </dxf>
    <dxf>
      <fill>
        <patternFill>
          <bgColor rgb="FFFF0066"/>
        </patternFill>
      </fill>
    </dxf>
    <dxf>
      <font>
        <b/>
        <i val="0"/>
        <color rgb="FFFF0000"/>
      </font>
      <fill>
        <patternFill>
          <bgColor rgb="FFFFFF00"/>
        </patternFill>
      </fill>
    </dxf>
    <dxf>
      <fill>
        <patternFill>
          <bgColor rgb="FFFF0066"/>
        </patternFill>
      </fill>
    </dxf>
    <dxf>
      <fill>
        <patternFill>
          <bgColor rgb="FFFF0066"/>
        </patternFill>
      </fill>
    </dxf>
    <dxf>
      <font>
        <b/>
        <i val="0"/>
        <color rgb="FFFF0000"/>
      </font>
      <fill>
        <patternFill>
          <bgColor rgb="FFFFFF00"/>
        </patternFill>
      </fill>
    </dxf>
    <dxf>
      <fill>
        <patternFill>
          <bgColor rgb="FFFF0066"/>
        </patternFill>
      </fill>
    </dxf>
    <dxf>
      <fill>
        <patternFill>
          <bgColor rgb="FFFF0066"/>
        </patternFill>
      </fill>
    </dxf>
    <dxf>
      <font>
        <b/>
        <i val="0"/>
        <color rgb="FFFF0000"/>
      </font>
      <fill>
        <patternFill>
          <bgColor rgb="FFFFFF00"/>
        </patternFill>
      </fill>
    </dxf>
    <dxf>
      <fill>
        <patternFill>
          <bgColor rgb="FFFF0066"/>
        </patternFill>
      </fill>
    </dxf>
    <dxf>
      <font>
        <b/>
        <i val="0"/>
        <color rgb="FFFF0000"/>
      </font>
      <fill>
        <patternFill>
          <bgColor rgb="FFFFFF00"/>
        </patternFill>
      </fill>
    </dxf>
    <dxf>
      <fill>
        <patternFill>
          <bgColor rgb="FFFF0066"/>
        </patternFill>
      </fill>
    </dxf>
    <dxf>
      <fill>
        <patternFill>
          <bgColor rgb="FFFF0066"/>
        </patternFill>
      </fill>
    </dxf>
    <dxf>
      <font>
        <b/>
        <i val="0"/>
        <color rgb="FFFF0000"/>
      </font>
      <fill>
        <patternFill patternType="solid">
          <bgColor rgb="FFFFFF00"/>
        </patternFill>
      </fill>
    </dxf>
    <dxf>
      <font>
        <b/>
        <i val="0"/>
        <color rgb="FFFF0000"/>
      </font>
      <fill>
        <patternFill>
          <bgColor rgb="FFFFFF00"/>
        </patternFill>
      </fill>
    </dxf>
    <dxf>
      <font>
        <color theme="0"/>
      </font>
    </dxf>
    <dxf>
      <font>
        <color auto="1"/>
      </font>
      <fill>
        <patternFill patternType="solid">
          <fgColor auto="1"/>
          <bgColor rgb="FFFF0066"/>
        </patternFill>
      </fill>
    </dxf>
    <dxf>
      <font>
        <color auto="1"/>
      </font>
      <fill>
        <patternFill patternType="solid">
          <fgColor auto="1"/>
          <bgColor rgb="FFFF0066"/>
        </patternFill>
      </fill>
    </dxf>
    <dxf>
      <fill>
        <patternFill patternType="lightTrellis">
          <fgColor theme="0" tint="-0.24994659260841701"/>
        </patternFill>
      </fill>
    </dxf>
    <dxf>
      <font>
        <b/>
        <i val="0"/>
        <color rgb="FFFF0000"/>
      </font>
      <fill>
        <patternFill>
          <bgColor rgb="FFFFFF00"/>
        </patternFill>
      </fill>
    </dxf>
    <dxf>
      <font>
        <b val="0"/>
        <i val="0"/>
        <color auto="1"/>
      </font>
      <fill>
        <gradientFill degree="90">
          <stop position="0">
            <color theme="0" tint="-0.49803155613879818"/>
          </stop>
          <stop position="1">
            <color rgb="FF008AEF"/>
          </stop>
        </gradientFill>
      </fill>
    </dxf>
    <dxf>
      <font>
        <b val="0"/>
        <i val="0"/>
        <color auto="1"/>
      </font>
      <fill>
        <gradientFill degree="90">
          <stop position="0">
            <color theme="0"/>
          </stop>
          <stop position="1">
            <color rgb="FFFF0000"/>
          </stop>
        </gradient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0066"/>
        </patternFill>
      </fill>
    </dxf>
    <dxf>
      <font>
        <b/>
        <i val="0"/>
        <color rgb="FFFF0000"/>
      </font>
      <fill>
        <patternFill>
          <bgColor rgb="FFFFFF00"/>
        </patternFill>
      </fill>
    </dxf>
    <dxf>
      <fill>
        <patternFill>
          <bgColor rgb="FFFF0066"/>
        </patternFill>
      </fill>
    </dxf>
    <dxf>
      <font>
        <b val="0"/>
        <i val="0"/>
        <strike val="0"/>
        <color auto="1"/>
      </font>
      <fill>
        <patternFill>
          <bgColor rgb="FFFF0066"/>
        </patternFill>
      </fill>
    </dxf>
    <dxf>
      <fill>
        <patternFill>
          <bgColor rgb="FFFF0066"/>
        </patternFill>
      </fill>
    </dxf>
    <dxf>
      <fill>
        <patternFill>
          <bgColor rgb="FFFF0066"/>
        </patternFill>
      </fill>
    </dxf>
    <dxf>
      <font>
        <b/>
        <i val="0"/>
        <color rgb="FFFF0000"/>
      </font>
      <fill>
        <patternFill>
          <bgColor rgb="FFFFFF00"/>
        </patternFill>
      </fill>
    </dxf>
    <dxf>
      <fill>
        <patternFill>
          <bgColor rgb="FFFF0066"/>
        </patternFill>
      </fill>
    </dxf>
    <dxf>
      <fill>
        <patternFill>
          <bgColor rgb="FFFF0066"/>
        </patternFill>
      </fill>
    </dxf>
    <dxf>
      <fill>
        <patternFill>
          <bgColor rgb="FFFF0066"/>
        </patternFill>
      </fill>
    </dxf>
    <dxf>
      <font>
        <b/>
        <i val="0"/>
        <color rgb="FFFF0000"/>
      </font>
      <fill>
        <patternFill>
          <bgColor rgb="FFFFFF00"/>
        </patternFill>
      </fill>
    </dxf>
    <dxf>
      <fill>
        <patternFill>
          <bgColor rgb="FFFF0066"/>
        </patternFill>
      </fill>
    </dxf>
    <dxf>
      <fill>
        <patternFill>
          <bgColor rgb="FFFF0066"/>
        </patternFill>
      </fill>
    </dxf>
    <dxf>
      <font>
        <b val="0"/>
        <i val="0"/>
        <color auto="1"/>
      </font>
      <fill>
        <patternFill patternType="none">
          <bgColor auto="1"/>
        </patternFill>
      </fill>
    </dxf>
    <dxf>
      <font>
        <b/>
        <i val="0"/>
        <color rgb="FFFF0000"/>
      </font>
      <fill>
        <patternFill patternType="solid">
          <bgColor rgb="FFFFFF00"/>
        </patternFill>
      </fill>
    </dxf>
    <dxf>
      <font>
        <b/>
        <i val="0"/>
        <color rgb="FFFF0000"/>
      </font>
      <fill>
        <patternFill>
          <bgColor rgb="FFFFFF00"/>
        </patternFill>
      </fill>
    </dxf>
    <dxf>
      <font>
        <b/>
        <i val="0"/>
        <color rgb="FFFF0000"/>
      </font>
      <fill>
        <patternFill>
          <bgColor rgb="FFFFFF00"/>
        </patternFill>
      </fill>
    </dxf>
    <dxf>
      <font>
        <b/>
        <i val="0"/>
        <color rgb="FFFF0066"/>
      </font>
      <fill>
        <patternFill>
          <bgColor rgb="FFFFFF00"/>
        </patternFill>
      </fill>
    </dxf>
    <dxf>
      <fill>
        <patternFill>
          <bgColor rgb="FFFF0066"/>
        </patternFill>
      </fill>
    </dxf>
    <dxf>
      <font>
        <b/>
        <i val="0"/>
        <color rgb="FFFF0000"/>
      </font>
      <fill>
        <patternFill patternType="solid">
          <bgColor rgb="FFFFFF00"/>
        </patternFill>
      </fill>
    </dxf>
    <dxf>
      <fill>
        <patternFill>
          <bgColor rgb="FFFF0066"/>
        </patternFill>
      </fill>
    </dxf>
    <dxf>
      <fill>
        <patternFill>
          <bgColor rgb="FFFF0066"/>
        </patternFill>
      </fill>
    </dxf>
    <dxf>
      <fill>
        <patternFill>
          <bgColor rgb="FFFF0066"/>
        </patternFill>
      </fill>
    </dxf>
    <dxf>
      <font>
        <b/>
        <i val="0"/>
        <color rgb="FFFF0000"/>
      </font>
      <fill>
        <patternFill patternType="solid">
          <bgColor rgb="FFFFFF00"/>
        </patternFill>
      </fill>
    </dxf>
  </dxfs>
  <tableStyles count="0" defaultTableStyle="TableStyleMedium2" defaultPivotStyle="PivotStyleLight16"/>
  <colors>
    <mruColors>
      <color rgb="FFFFFFCC"/>
      <color rgb="FFFF0066"/>
      <color rgb="FFCCFFCC"/>
      <color rgb="FF00FFFF"/>
      <color rgb="FFCC66FF"/>
      <color rgb="FFCCFF33"/>
      <color rgb="FFCCFF66"/>
      <color rgb="FF339933"/>
      <color rgb="FFCCCC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1</xdr:col>
      <xdr:colOff>66179</xdr:colOff>
      <xdr:row>1</xdr:row>
      <xdr:rowOff>139810</xdr:rowOff>
    </xdr:from>
    <xdr:to>
      <xdr:col>12</xdr:col>
      <xdr:colOff>565536</xdr:colOff>
      <xdr:row>5</xdr:row>
      <xdr:rowOff>40749</xdr:rowOff>
    </xdr:to>
    <xdr:sp macro="" textlink="">
      <xdr:nvSpPr>
        <xdr:cNvPr id="2" name="1 Rectángulo" descr="ELABORADO POR LUZ MARINA QUINTANILLA PARAMO">
          <a:extLst>
            <a:ext uri="{FF2B5EF4-FFF2-40B4-BE49-F238E27FC236}">
              <a16:creationId xmlns:a16="http://schemas.microsoft.com/office/drawing/2014/main" id="{00000000-0008-0000-0000-000002000000}"/>
            </a:ext>
          </a:extLst>
        </xdr:cNvPr>
        <xdr:cNvSpPr/>
      </xdr:nvSpPr>
      <xdr:spPr>
        <a:xfrm>
          <a:off x="203339" y="322690"/>
          <a:ext cx="6046717" cy="777239"/>
        </a:xfrm>
        <a:prstGeom prst="rect">
          <a:avLst/>
        </a:prstGeom>
        <a:noFill/>
      </xdr:spPr>
      <xdr:txBody>
        <a:bodyPr vertOverflow="clip" horzOverflow="clip" vert="horz" wrap="square" lIns="0" tIns="0" rIns="0" bIns="0">
          <a:noAutofit/>
        </a:bodyPr>
        <a:lstStyle/>
        <a:p>
          <a:pPr algn="just"/>
          <a:r>
            <a:rPr lang="es-ES" sz="13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LIQUIDADOR DE  SEGURIDAD</a:t>
          </a:r>
          <a:r>
            <a:rPr lang="es-ES" sz="1300" b="1" cap="none" spc="0" baseline="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 SOCIAL Y RETENCIONES  - RENTAS DE TRABAJO y REGIMEN SIMPLE DE TRIBUTACION</a:t>
          </a:r>
          <a:endParaRPr lang="es-ES" sz="13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endParaRPr>
        </a:p>
        <a:p>
          <a:pPr algn="just"/>
          <a:r>
            <a:rPr lang="es-ES" sz="1000" b="1" cap="none" spc="0">
              <a:ln w="10541" cmpd="sng">
                <a:solidFill>
                  <a:schemeClr val="accent1">
                    <a:shade val="88000"/>
                    <a:satMod val="110000"/>
                  </a:schemeClr>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a:gradFill>
              <a:effectLst/>
            </a:rPr>
            <a:t>CONTRATO CUYA REMUNERACIÓN DEPENDE DE LOS DÍAS DE SERVICIO EFECTIVAMENTE PRESTADOS Y CUYOS PAGOS ESTÁN PROGRAMADOS A FIN DE MES</a:t>
          </a:r>
        </a:p>
      </xdr:txBody>
    </xdr:sp>
    <xdr:clientData/>
  </xdr:twoCellAnchor>
  <xdr:twoCellAnchor>
    <xdr:from>
      <xdr:col>14</xdr:col>
      <xdr:colOff>342900</xdr:colOff>
      <xdr:row>1</xdr:row>
      <xdr:rowOff>175260</xdr:rowOff>
    </xdr:from>
    <xdr:to>
      <xdr:col>14</xdr:col>
      <xdr:colOff>662940</xdr:colOff>
      <xdr:row>2</xdr:row>
      <xdr:rowOff>251460</xdr:rowOff>
    </xdr:to>
    <xdr:sp macro="" textlink="">
      <xdr:nvSpPr>
        <xdr:cNvPr id="3" name="Elipse 2">
          <a:extLst>
            <a:ext uri="{FF2B5EF4-FFF2-40B4-BE49-F238E27FC236}">
              <a16:creationId xmlns:a16="http://schemas.microsoft.com/office/drawing/2014/main" id="{2CDC8ADB-F4D1-F5AD-180C-9AC8763AF138}"/>
            </a:ext>
          </a:extLst>
        </xdr:cNvPr>
        <xdr:cNvSpPr/>
      </xdr:nvSpPr>
      <xdr:spPr>
        <a:xfrm>
          <a:off x="7360920" y="175260"/>
          <a:ext cx="320040" cy="259080"/>
        </a:xfrm>
        <a:prstGeom prst="ellipse">
          <a:avLst/>
        </a:prstGeom>
        <a:solidFill>
          <a:schemeClr val="accent6">
            <a:lumMod val="20000"/>
            <a:lumOff val="8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14</xdr:col>
      <xdr:colOff>335280</xdr:colOff>
      <xdr:row>3</xdr:row>
      <xdr:rowOff>38100</xdr:rowOff>
    </xdr:from>
    <xdr:to>
      <xdr:col>14</xdr:col>
      <xdr:colOff>655320</xdr:colOff>
      <xdr:row>4</xdr:row>
      <xdr:rowOff>30480</xdr:rowOff>
    </xdr:to>
    <xdr:sp macro="" textlink="">
      <xdr:nvSpPr>
        <xdr:cNvPr id="4" name="Elipse 3">
          <a:extLst>
            <a:ext uri="{FF2B5EF4-FFF2-40B4-BE49-F238E27FC236}">
              <a16:creationId xmlns:a16="http://schemas.microsoft.com/office/drawing/2014/main" id="{C6854D5D-13AB-4831-96FF-6FACD8401107}"/>
            </a:ext>
          </a:extLst>
        </xdr:cNvPr>
        <xdr:cNvSpPr/>
      </xdr:nvSpPr>
      <xdr:spPr>
        <a:xfrm>
          <a:off x="7353300" y="487680"/>
          <a:ext cx="320040" cy="259080"/>
        </a:xfrm>
        <a:prstGeom prst="ellipse">
          <a:avLst/>
        </a:prstGeom>
        <a:solidFill>
          <a:srgbClr val="FFFFCC"/>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4">
    <tabColor rgb="FF1207E9"/>
  </sheetPr>
  <dimension ref="A1:BW75"/>
  <sheetViews>
    <sheetView showGridLines="0" tabSelected="1" zoomScaleNormal="100" workbookViewId="0">
      <selection activeCell="P7" sqref="P7"/>
    </sheetView>
  </sheetViews>
  <sheetFormatPr baseColWidth="10" defaultColWidth="10" defaultRowHeight="12.75" customHeight="1" x14ac:dyDescent="0.2"/>
  <cols>
    <col min="1" max="1" width="3" style="5" customWidth="1"/>
    <col min="2" max="2" width="10" style="5" customWidth="1"/>
    <col min="3" max="3" width="10.6640625" style="5" customWidth="1"/>
    <col min="4" max="5" width="12" style="5" customWidth="1"/>
    <col min="6" max="6" width="12.5" style="5" customWidth="1"/>
    <col min="7" max="7" width="11" style="5" customWidth="1"/>
    <col min="8" max="8" width="10.6640625" style="5" customWidth="1"/>
    <col min="9" max="9" width="11" style="5" customWidth="1"/>
    <col min="10" max="10" width="10.83203125" style="5" customWidth="1"/>
    <col min="11" max="11" width="9.6640625" style="5" customWidth="1"/>
    <col min="12" max="12" width="11" style="5" customWidth="1"/>
    <col min="13" max="13" width="12.5" style="5" customWidth="1"/>
    <col min="14" max="14" width="15" style="5" customWidth="1"/>
    <col min="15" max="15" width="15.1640625" style="5" customWidth="1"/>
    <col min="16" max="16" width="16.1640625" style="5" customWidth="1"/>
    <col min="17" max="17" width="10" style="5" customWidth="1"/>
    <col min="18" max="18" width="14.33203125" style="5" customWidth="1"/>
    <col min="19" max="19" width="7.5" style="5" customWidth="1"/>
    <col min="20" max="20" width="14.33203125" style="5" customWidth="1"/>
    <col min="21" max="21" width="11" style="5" customWidth="1"/>
    <col min="22" max="22" width="10.6640625" style="5" customWidth="1"/>
    <col min="23" max="24" width="11" style="5" customWidth="1"/>
    <col min="25" max="25" width="12.33203125" style="5" customWidth="1"/>
    <col min="26" max="26" width="13" style="5" customWidth="1"/>
    <col min="27" max="27" width="4.83203125" style="5" customWidth="1"/>
    <col min="28" max="28" width="12" style="5" customWidth="1"/>
    <col min="29" max="32" width="11" style="5" customWidth="1"/>
    <col min="33" max="34" width="12" style="5" customWidth="1"/>
    <col min="35" max="35" width="17.33203125" style="5" customWidth="1"/>
    <col min="36" max="36" width="13.83203125" style="5" customWidth="1"/>
    <col min="37" max="37" width="9.6640625" style="5" customWidth="1"/>
    <col min="38" max="38" width="12" style="5" customWidth="1"/>
    <col min="39" max="39" width="15" style="5" customWidth="1"/>
    <col min="40" max="40" width="9.1640625" style="5" customWidth="1"/>
    <col min="41" max="41" width="14.33203125" style="5" customWidth="1"/>
    <col min="42" max="43" width="12" style="5" customWidth="1"/>
    <col min="44" max="44" width="11" style="5" customWidth="1"/>
    <col min="45" max="45" width="10.5" style="5" customWidth="1"/>
    <col min="46" max="46" width="13" style="5" customWidth="1"/>
    <col min="47" max="47" width="12" style="5" customWidth="1"/>
    <col min="48" max="48" width="13" style="5" customWidth="1"/>
    <col min="49" max="49" width="12.33203125" style="5" customWidth="1"/>
    <col min="50" max="51" width="11" style="5" customWidth="1"/>
    <col min="52" max="52" width="10" style="5" customWidth="1"/>
    <col min="53" max="55" width="13.6640625" style="5" customWidth="1"/>
    <col min="56" max="56" width="15.83203125" style="5" customWidth="1"/>
    <col min="57" max="58" width="8" style="5" customWidth="1"/>
    <col min="59" max="59" width="10.1640625" style="5" customWidth="1"/>
    <col min="60" max="60" width="44.1640625" style="5" customWidth="1"/>
    <col min="61" max="61" width="23.6640625" style="5" customWidth="1"/>
    <col min="62" max="62" width="15.33203125" style="5" customWidth="1"/>
    <col min="63" max="63" width="11.83203125" style="5" customWidth="1"/>
    <col min="64" max="64" width="35.83203125" style="5" customWidth="1"/>
    <col min="65" max="65" width="15.33203125" style="5" customWidth="1"/>
    <col min="66" max="66" width="11.83203125" style="5" customWidth="1"/>
    <col min="67" max="67" width="35.83203125" style="5" customWidth="1"/>
    <col min="68" max="68" width="15.33203125" style="5" customWidth="1"/>
    <col min="69" max="69" width="11.83203125" style="5" customWidth="1"/>
    <col min="70" max="70" width="35.83203125" style="5" customWidth="1"/>
    <col min="71" max="71" width="10" style="5"/>
    <col min="72" max="72" width="9" style="92" hidden="1" customWidth="1"/>
    <col min="73" max="73" width="70.5" style="92" hidden="1" customWidth="1"/>
    <col min="74" max="74" width="69.1640625" style="92" hidden="1" customWidth="1"/>
    <col min="75" max="16384" width="10" style="5"/>
  </cols>
  <sheetData>
    <row r="1" spans="1:75" s="162" customFormat="1" ht="14.4" x14ac:dyDescent="0.3">
      <c r="A1" s="146"/>
      <c r="B1" s="146"/>
      <c r="C1" s="146"/>
      <c r="D1" s="146"/>
      <c r="E1" s="146"/>
      <c r="F1" s="147"/>
      <c r="G1" s="147"/>
      <c r="H1" s="147"/>
      <c r="I1" s="146"/>
      <c r="J1" s="146"/>
      <c r="K1" s="146"/>
      <c r="L1" s="146"/>
      <c r="M1" s="146"/>
      <c r="N1" s="146"/>
      <c r="O1" s="146"/>
      <c r="P1" s="148"/>
      <c r="Q1" s="146"/>
      <c r="R1" s="146"/>
      <c r="S1" s="146"/>
      <c r="T1" s="146"/>
      <c r="U1" s="146"/>
      <c r="V1" s="146"/>
      <c r="W1" s="146"/>
      <c r="X1" s="146"/>
      <c r="Y1" s="146"/>
      <c r="Z1" s="146"/>
      <c r="AA1" s="146"/>
      <c r="AB1" s="149"/>
      <c r="AC1" s="146"/>
      <c r="AD1" s="150"/>
      <c r="AE1" s="150"/>
      <c r="AF1" s="146"/>
      <c r="AG1" s="146"/>
      <c r="AH1" s="146"/>
      <c r="AI1" s="146"/>
      <c r="AJ1" s="146"/>
      <c r="AK1" s="146"/>
      <c r="AL1" s="146"/>
      <c r="AM1" s="146"/>
      <c r="AN1" s="146"/>
      <c r="AO1" s="146"/>
      <c r="AP1" s="151"/>
      <c r="AQ1" s="146"/>
      <c r="AR1" s="151"/>
      <c r="AS1" s="152"/>
      <c r="AT1" s="153"/>
      <c r="AU1" s="146"/>
      <c r="AV1" s="154"/>
      <c r="AW1" s="155"/>
      <c r="AX1" s="155"/>
      <c r="AY1" s="156"/>
      <c r="AZ1" s="157"/>
      <c r="BA1" s="158"/>
      <c r="BB1" s="158"/>
      <c r="BC1" s="158"/>
      <c r="BD1" s="158"/>
      <c r="BE1" s="158"/>
      <c r="BF1" s="158"/>
      <c r="BG1" s="158"/>
      <c r="BH1" s="158"/>
      <c r="BI1" s="158"/>
      <c r="BJ1" s="158"/>
      <c r="BK1" s="158"/>
      <c r="BL1" s="158"/>
      <c r="BM1" s="159"/>
      <c r="BN1" s="160"/>
      <c r="BO1" s="160"/>
      <c r="BP1" s="161"/>
      <c r="BQ1" s="161"/>
      <c r="BR1" s="161"/>
      <c r="BS1" s="161"/>
      <c r="BT1" s="161"/>
      <c r="BU1" s="161"/>
      <c r="BV1" s="161"/>
    </row>
    <row r="2" spans="1:75" customFormat="1" ht="14.4" x14ac:dyDescent="0.3">
      <c r="A2" s="126"/>
      <c r="B2" s="126"/>
      <c r="C2" s="126"/>
      <c r="D2" s="126"/>
      <c r="E2" s="126"/>
      <c r="F2" s="126"/>
      <c r="G2" s="126"/>
      <c r="H2" s="126"/>
      <c r="I2" s="126"/>
      <c r="J2" s="126"/>
      <c r="K2" s="126"/>
      <c r="L2" s="126"/>
      <c r="M2" s="126"/>
      <c r="N2" s="126"/>
      <c r="O2" s="136" t="s">
        <v>245</v>
      </c>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7"/>
      <c r="BP2" s="127"/>
      <c r="BQ2" s="127"/>
    </row>
    <row r="3" spans="1:75" ht="21" customHeight="1" x14ac:dyDescent="0.2">
      <c r="A3" s="48"/>
      <c r="B3" s="69"/>
      <c r="C3" s="48"/>
      <c r="D3" s="48"/>
      <c r="E3" s="48"/>
      <c r="F3" s="48"/>
      <c r="G3" s="48"/>
      <c r="H3" s="48"/>
      <c r="I3" s="48"/>
      <c r="J3" s="48"/>
      <c r="K3" s="48"/>
      <c r="L3" s="48"/>
      <c r="M3" s="48"/>
      <c r="N3" s="48"/>
      <c r="O3" s="48"/>
      <c r="P3" s="166" t="s">
        <v>243</v>
      </c>
      <c r="Q3" s="166"/>
      <c r="R3" s="15" t="s">
        <v>76</v>
      </c>
      <c r="S3" s="15"/>
      <c r="T3" s="15"/>
      <c r="U3" s="15"/>
      <c r="V3" s="15"/>
      <c r="W3" s="15"/>
      <c r="Y3" s="25" t="str">
        <f>IF(OR(AND(AB6=0,AB7&lt;&gt;0),AND(AB7=0,AB6&lt;&gt;0),AND(AC6=0,AC7&lt;&gt;0),AND(AC7=0,AC6&lt;&gt;0),AND(AB12&gt;0,AB13&gt;0,AB14=0),AND(AC12&gt;0,AC13&gt;0,AC14=0),AND(AG6=0,AG9&gt;0),AND(AG6&gt;0,AG9=0),AND(AG12=0,AG14&gt;0),AND(AG12&gt;0,AG14=0),AND(AG16=0,AG18&gt;0),AND(AG16&gt;0,AG18=0)),"DIGITE LA INFORMACIÓN DE LA CELDA CON RELLENO COLOR FUCSIA","")</f>
        <v/>
      </c>
      <c r="AL3" s="325" t="s">
        <v>234</v>
      </c>
      <c r="AM3" s="325"/>
      <c r="AN3" s="325"/>
      <c r="AO3" s="325"/>
      <c r="AP3" s="325"/>
      <c r="AQ3" s="325"/>
      <c r="AS3" s="125" t="s">
        <v>69</v>
      </c>
      <c r="AT3" s="125"/>
      <c r="AU3" s="125"/>
      <c r="AV3" s="125"/>
      <c r="AW3" s="295" t="s">
        <v>88</v>
      </c>
      <c r="AX3" s="295"/>
      <c r="AY3" s="295"/>
      <c r="AZ3" s="295"/>
      <c r="BA3" s="295"/>
      <c r="BB3" s="295"/>
      <c r="BC3" s="295"/>
      <c r="BD3" s="295"/>
      <c r="BT3" s="88" t="s">
        <v>69</v>
      </c>
      <c r="BU3" s="88"/>
      <c r="BV3" s="88"/>
      <c r="BW3" s="113"/>
    </row>
    <row r="4" spans="1:75" ht="21" customHeight="1" x14ac:dyDescent="0.2">
      <c r="A4" s="48"/>
      <c r="B4" s="70"/>
      <c r="C4" s="70"/>
      <c r="D4" s="70"/>
      <c r="E4" s="70"/>
      <c r="F4" s="70"/>
      <c r="G4" s="70"/>
      <c r="H4" s="70"/>
      <c r="I4" s="70"/>
      <c r="J4" s="70"/>
      <c r="K4" s="70"/>
      <c r="L4" s="70"/>
      <c r="M4" s="70"/>
      <c r="N4" s="70"/>
      <c r="O4" s="70"/>
      <c r="P4" s="167" t="s">
        <v>244</v>
      </c>
      <c r="Q4" s="167"/>
      <c r="R4" s="203"/>
      <c r="S4" s="204"/>
      <c r="T4" s="204"/>
      <c r="U4" s="204"/>
      <c r="V4" s="204"/>
      <c r="W4" s="205"/>
      <c r="Y4" s="293" t="s">
        <v>42</v>
      </c>
      <c r="Z4" s="241" t="s">
        <v>49</v>
      </c>
      <c r="AA4" s="241"/>
      <c r="AB4" s="233" t="str">
        <f t="shared" ref="AB4" si="0">Y$36</f>
        <v>Intereses de Vivienda</v>
      </c>
      <c r="AC4" s="233" t="str">
        <f>Z$36</f>
        <v>Pagos por Salud</v>
      </c>
      <c r="AD4" s="305" t="str">
        <f>AA$36</f>
        <v>Dependientes Económicos</v>
      </c>
      <c r="AE4" s="341"/>
      <c r="AF4" s="341"/>
      <c r="AG4" s="306"/>
      <c r="AL4" s="293" t="s">
        <v>42</v>
      </c>
      <c r="AM4" s="241" t="s">
        <v>49</v>
      </c>
      <c r="AN4" s="241"/>
      <c r="AO4" s="293" t="s">
        <v>98</v>
      </c>
      <c r="AP4" s="293" t="s">
        <v>99</v>
      </c>
      <c r="AQ4" s="293" t="s">
        <v>100</v>
      </c>
      <c r="AS4" s="57" t="s">
        <v>42</v>
      </c>
      <c r="AT4" s="57" t="s">
        <v>11</v>
      </c>
      <c r="AU4" s="57" t="s">
        <v>7</v>
      </c>
      <c r="AV4" s="57" t="s">
        <v>219</v>
      </c>
      <c r="AW4" s="332" t="s">
        <v>71</v>
      </c>
      <c r="AX4" s="332"/>
      <c r="AY4" s="332"/>
      <c r="AZ4" s="332"/>
      <c r="BA4" s="332" t="s">
        <v>70</v>
      </c>
      <c r="BB4" s="332"/>
      <c r="BC4" s="332"/>
      <c r="BD4" s="332"/>
      <c r="BT4" s="89" t="s">
        <v>105</v>
      </c>
      <c r="BU4" s="89" t="s">
        <v>106</v>
      </c>
      <c r="BV4" s="89" t="s">
        <v>107</v>
      </c>
      <c r="BW4" s="113"/>
    </row>
    <row r="5" spans="1:75" ht="12.75" customHeight="1" x14ac:dyDescent="0.2">
      <c r="A5" s="48"/>
      <c r="B5" s="70"/>
      <c r="C5" s="70"/>
      <c r="D5" s="70"/>
      <c r="E5" s="70"/>
      <c r="F5" s="70"/>
      <c r="G5" s="70"/>
      <c r="H5" s="70"/>
      <c r="I5" s="70"/>
      <c r="J5" s="70"/>
      <c r="K5" s="70"/>
      <c r="L5" s="70"/>
      <c r="M5" s="70"/>
      <c r="N5" s="70"/>
      <c r="O5" s="70"/>
      <c r="P5" s="70"/>
      <c r="Q5" s="48"/>
      <c r="R5" s="206"/>
      <c r="S5" s="207"/>
      <c r="T5" s="207"/>
      <c r="U5" s="207"/>
      <c r="V5" s="207"/>
      <c r="W5" s="208"/>
      <c r="Y5" s="295"/>
      <c r="Z5" s="241"/>
      <c r="AA5" s="241"/>
      <c r="AB5" s="235"/>
      <c r="AC5" s="235"/>
      <c r="AD5" s="309"/>
      <c r="AE5" s="342"/>
      <c r="AF5" s="342"/>
      <c r="AG5" s="310"/>
      <c r="AL5" s="295"/>
      <c r="AM5" s="241"/>
      <c r="AN5" s="241"/>
      <c r="AO5" s="295"/>
      <c r="AP5" s="295"/>
      <c r="AQ5" s="295"/>
      <c r="AS5" s="18">
        <v>2025</v>
      </c>
      <c r="AT5" s="95">
        <v>49799</v>
      </c>
      <c r="AU5" s="95">
        <v>1423500</v>
      </c>
      <c r="AV5" s="22" t="s">
        <v>184</v>
      </c>
      <c r="AW5" s="333" t="s">
        <v>52</v>
      </c>
      <c r="AX5" s="333"/>
      <c r="AY5" s="333"/>
      <c r="AZ5" s="333"/>
      <c r="BA5" s="336" t="s">
        <v>60</v>
      </c>
      <c r="BB5" s="336"/>
      <c r="BC5" s="336"/>
      <c r="BD5" s="336"/>
      <c r="BT5" s="90" t="s">
        <v>108</v>
      </c>
      <c r="BU5" s="91" t="s">
        <v>109</v>
      </c>
      <c r="BV5" s="91" t="s">
        <v>110</v>
      </c>
      <c r="BW5" s="113"/>
    </row>
    <row r="6" spans="1:75" ht="12.75" customHeight="1" x14ac:dyDescent="0.2">
      <c r="B6" s="265" t="s">
        <v>13</v>
      </c>
      <c r="C6" s="32" t="s">
        <v>24</v>
      </c>
      <c r="D6" s="33"/>
      <c r="E6" s="33"/>
      <c r="F6" s="181">
        <f>+N1</f>
        <v>0</v>
      </c>
      <c r="G6" s="182"/>
      <c r="H6" s="182"/>
      <c r="I6" s="182"/>
      <c r="J6" s="183"/>
      <c r="K6" s="224" t="s">
        <v>218</v>
      </c>
      <c r="L6" s="224"/>
      <c r="M6" s="141" t="s">
        <v>249</v>
      </c>
      <c r="N6" s="141" t="s">
        <v>201</v>
      </c>
      <c r="P6" s="17"/>
      <c r="R6" s="206"/>
      <c r="S6" s="207"/>
      <c r="T6" s="207"/>
      <c r="U6" s="207"/>
      <c r="V6" s="207"/>
      <c r="W6" s="208"/>
      <c r="Y6" s="180">
        <v>2025</v>
      </c>
      <c r="Z6" s="261" t="s">
        <v>43</v>
      </c>
      <c r="AA6" s="261"/>
      <c r="AB6" s="117"/>
      <c r="AC6" s="21"/>
      <c r="AD6" s="241" t="s">
        <v>41</v>
      </c>
      <c r="AE6" s="305"/>
      <c r="AF6" s="306"/>
      <c r="AG6" s="365"/>
      <c r="AL6" s="318">
        <v>2025</v>
      </c>
      <c r="AM6" s="261" t="s">
        <v>101</v>
      </c>
      <c r="AN6" s="261"/>
      <c r="AO6" s="21"/>
      <c r="AP6" s="78"/>
      <c r="AQ6" s="21"/>
      <c r="AS6" s="18">
        <v>2026</v>
      </c>
      <c r="AT6" s="95">
        <v>52379</v>
      </c>
      <c r="AU6" s="95">
        <v>1750905</v>
      </c>
      <c r="AV6" s="22" t="s">
        <v>39</v>
      </c>
      <c r="AW6" s="334" t="s">
        <v>51</v>
      </c>
      <c r="AX6" s="334"/>
      <c r="AY6" s="334"/>
      <c r="AZ6" s="334"/>
      <c r="BA6" s="337" t="s">
        <v>61</v>
      </c>
      <c r="BB6" s="337"/>
      <c r="BC6" s="337"/>
      <c r="BD6" s="337"/>
      <c r="BT6" s="90" t="s">
        <v>108</v>
      </c>
      <c r="BU6" s="91" t="s">
        <v>111</v>
      </c>
      <c r="BV6" s="91" t="s">
        <v>112</v>
      </c>
      <c r="BW6" s="113"/>
    </row>
    <row r="7" spans="1:75" ht="12.75" customHeight="1" x14ac:dyDescent="0.2">
      <c r="B7" s="263"/>
      <c r="C7" s="32" t="s">
        <v>67</v>
      </c>
      <c r="D7" s="33"/>
      <c r="E7" s="33"/>
      <c r="F7" s="267">
        <f>+M1</f>
        <v>0</v>
      </c>
      <c r="G7" s="268"/>
      <c r="H7" s="184">
        <f>+J1</f>
        <v>0</v>
      </c>
      <c r="I7" s="185"/>
      <c r="J7" s="186"/>
      <c r="K7" s="280">
        <f>+B1</f>
        <v>0</v>
      </c>
      <c r="L7" s="280"/>
      <c r="M7" s="143">
        <f>+AH1</f>
        <v>0</v>
      </c>
      <c r="N7" s="143">
        <f>+D1</f>
        <v>0</v>
      </c>
      <c r="R7" s="206"/>
      <c r="S7" s="207"/>
      <c r="T7" s="207"/>
      <c r="U7" s="207"/>
      <c r="V7" s="207"/>
      <c r="W7" s="208"/>
      <c r="Y7" s="180"/>
      <c r="Z7" s="261" t="s">
        <v>45</v>
      </c>
      <c r="AA7" s="261"/>
      <c r="AB7" s="21"/>
      <c r="AC7" s="21"/>
      <c r="AD7" s="241"/>
      <c r="AE7" s="307"/>
      <c r="AF7" s="308"/>
      <c r="AG7" s="365"/>
      <c r="AL7" s="174"/>
      <c r="AM7" s="261" t="s">
        <v>43</v>
      </c>
      <c r="AN7" s="261"/>
      <c r="AO7" s="24">
        <f>AO6-AO13</f>
        <v>0</v>
      </c>
      <c r="AP7" s="78"/>
      <c r="AQ7" s="24">
        <f>AQ6-AQ13-AQ14</f>
        <v>0</v>
      </c>
      <c r="AS7" s="18">
        <v>2027</v>
      </c>
      <c r="AT7" s="19"/>
      <c r="AU7" s="19"/>
      <c r="AV7" s="22" t="s">
        <v>198</v>
      </c>
      <c r="AW7" s="334"/>
      <c r="AX7" s="334"/>
      <c r="AY7" s="334"/>
      <c r="AZ7" s="334"/>
      <c r="BA7" s="340" t="s">
        <v>62</v>
      </c>
      <c r="BB7" s="340"/>
      <c r="BC7" s="340"/>
      <c r="BD7" s="340"/>
      <c r="BT7" s="90" t="s">
        <v>113</v>
      </c>
      <c r="BU7" s="91" t="s">
        <v>114</v>
      </c>
      <c r="BV7" s="91" t="s">
        <v>115</v>
      </c>
      <c r="BW7" s="113"/>
    </row>
    <row r="8" spans="1:75" ht="12.75" customHeight="1" x14ac:dyDescent="0.2">
      <c r="B8" s="263"/>
      <c r="C8" s="32" t="s">
        <v>72</v>
      </c>
      <c r="D8" s="33"/>
      <c r="E8" s="115"/>
      <c r="F8" s="187"/>
      <c r="G8" s="188"/>
      <c r="H8" s="188"/>
      <c r="I8" s="188"/>
      <c r="J8" s="189"/>
      <c r="R8" s="206"/>
      <c r="S8" s="207"/>
      <c r="T8" s="207"/>
      <c r="U8" s="207"/>
      <c r="V8" s="207"/>
      <c r="W8" s="208"/>
      <c r="Y8" s="180"/>
      <c r="Z8" s="261" t="s">
        <v>41</v>
      </c>
      <c r="AA8" s="261"/>
      <c r="AB8" s="47"/>
      <c r="AC8" s="47"/>
      <c r="AD8" s="241"/>
      <c r="AE8" s="309"/>
      <c r="AF8" s="310"/>
      <c r="AG8" s="355"/>
      <c r="AH8" s="328" t="s">
        <v>196</v>
      </c>
      <c r="AI8" s="328"/>
      <c r="AL8" s="174"/>
      <c r="AM8" s="261" t="s">
        <v>2</v>
      </c>
      <c r="AN8" s="261"/>
      <c r="AO8" s="74"/>
      <c r="AP8" s="74"/>
      <c r="AQ8" s="74"/>
      <c r="AV8" s="22" t="s">
        <v>37</v>
      </c>
      <c r="AW8" s="331" t="s">
        <v>64</v>
      </c>
      <c r="AX8" s="331"/>
      <c r="AY8" s="331"/>
      <c r="AZ8" s="331"/>
      <c r="BA8" s="338" t="s">
        <v>63</v>
      </c>
      <c r="BB8" s="339"/>
      <c r="BC8" s="339"/>
      <c r="BD8" s="339"/>
      <c r="BT8" s="90" t="s">
        <v>113</v>
      </c>
      <c r="BU8" s="91" t="s">
        <v>116</v>
      </c>
      <c r="BV8" s="91" t="s">
        <v>117</v>
      </c>
      <c r="BW8" s="113"/>
    </row>
    <row r="9" spans="1:75" ht="12.75" customHeight="1" thickBot="1" x14ac:dyDescent="0.25">
      <c r="B9" s="263"/>
      <c r="C9" s="32" t="s">
        <v>215</v>
      </c>
      <c r="D9" s="33"/>
      <c r="E9" s="168">
        <f>+U1</f>
        <v>0</v>
      </c>
      <c r="F9" s="168"/>
      <c r="G9" s="168"/>
      <c r="H9" s="168"/>
      <c r="I9" s="168"/>
      <c r="J9" s="169"/>
      <c r="K9" s="32" t="s">
        <v>240</v>
      </c>
      <c r="L9" s="33"/>
      <c r="M9" s="199">
        <f>+S1</f>
        <v>0</v>
      </c>
      <c r="N9" s="200"/>
      <c r="R9" s="206"/>
      <c r="S9" s="207"/>
      <c r="T9" s="207"/>
      <c r="U9" s="207"/>
      <c r="V9" s="207"/>
      <c r="W9" s="208"/>
      <c r="Y9" s="178" t="s">
        <v>20</v>
      </c>
      <c r="Z9" s="261" t="s">
        <v>44</v>
      </c>
      <c r="AA9" s="261"/>
      <c r="AB9" s="24">
        <f>IF(OR(AB6=0,AB7=0),0,IF(ROUND(AB6/AB7*30,0)&gt;ROUND(100*INDEX($AT$5:$AT$7,MATCH($Y6+1,$AS$5:$AS$7,0),1)-1,-3),ROUND(100*INDEX($AT$5:$AT$7,MATCH($Y6+1,$AS$5:$AS$7,0),1)-1,-3),ROUND(AB6/AB7*30,0)))</f>
        <v>0</v>
      </c>
      <c r="AC9" s="24">
        <f>IF(OR(AC6=0,AC7=0),0,IF(ROUND(AC6/AC7*30,0)&gt;ROUND(16*INDEX($AT$5:$AT$7,MATCH($Y6+1,$AS$5:$AS$7,0),1)-1,-3),ROUND(16*INDEX($AT$5:$AT$7,MATCH($Y6+1,$AS$5:$AS$7,0),1)-1,-3),ROUND(AC6/AC7*30,0)))</f>
        <v>0</v>
      </c>
      <c r="AD9" s="241" t="s">
        <v>14</v>
      </c>
      <c r="AE9" s="305"/>
      <c r="AF9" s="306"/>
      <c r="AG9" s="355"/>
      <c r="AH9" s="103" t="s">
        <v>194</v>
      </c>
      <c r="AI9" s="103" t="s">
        <v>195</v>
      </c>
      <c r="AL9" s="319"/>
      <c r="AM9" s="261" t="s">
        <v>41</v>
      </c>
      <c r="AN9" s="261"/>
      <c r="AO9" s="75"/>
      <c r="AP9" s="75"/>
      <c r="AQ9" s="75"/>
      <c r="AV9" s="22" t="s">
        <v>38</v>
      </c>
      <c r="AW9" s="331"/>
      <c r="AX9" s="331"/>
      <c r="AY9" s="331"/>
      <c r="AZ9" s="331"/>
      <c r="BA9" s="335" t="s">
        <v>92</v>
      </c>
      <c r="BB9" s="335"/>
      <c r="BC9" s="335"/>
      <c r="BD9" s="335"/>
      <c r="BT9" s="90" t="s">
        <v>108</v>
      </c>
      <c r="BU9" s="91" t="s">
        <v>118</v>
      </c>
      <c r="BV9" s="91" t="s">
        <v>119</v>
      </c>
      <c r="BW9" s="113"/>
    </row>
    <row r="10" spans="1:75" ht="12.75" customHeight="1" thickTop="1" thickBot="1" x14ac:dyDescent="0.25">
      <c r="B10" s="263"/>
      <c r="C10" s="32" t="s">
        <v>216</v>
      </c>
      <c r="D10" s="33"/>
      <c r="E10" s="168">
        <f>+AW1</f>
        <v>0</v>
      </c>
      <c r="F10" s="168"/>
      <c r="G10" s="168"/>
      <c r="H10" s="168"/>
      <c r="I10" s="168"/>
      <c r="J10" s="169"/>
      <c r="K10" s="32" t="s">
        <v>241</v>
      </c>
      <c r="L10" s="33"/>
      <c r="M10" s="201">
        <f>+P1</f>
        <v>0</v>
      </c>
      <c r="N10" s="202"/>
      <c r="R10" s="206"/>
      <c r="S10" s="207"/>
      <c r="T10" s="207"/>
      <c r="U10" s="207"/>
      <c r="V10" s="207"/>
      <c r="W10" s="208"/>
      <c r="Y10" s="179"/>
      <c r="Z10" s="326" t="s">
        <v>40</v>
      </c>
      <c r="AA10" s="326"/>
      <c r="AB10" s="39" cm="1">
        <f t="array" ref="AB10">IF($H$26=0,0,IF(ROUND(AB9/30*IF(ROUND(SUM(IF($R$38:$R$50&gt;=AB8,IF($R$38:$R$50&lt;=DATE($Y6+1,4,15),$T$38:$T$50,0),0))/$H$26,0)&gt;AB7,AB7,ROUND(SUM(IF($R$38:$R$50&gt;=AB8,IF($R$38:$R$50&lt;=DATE($Y6+1,4,15),$T$38:$T$50,0),0))/$H$26,0)),0)&gt;AB6,AB6,ROUND(AB9/30*IF(ROUND(SUM(IF($R$38:$R$50&gt;=AB8,IF($R$38:$R$50&lt;=DATE($Y6+1,4,15),$T$38:$T$50,0),0))/$H$26,0)&gt;AB7,AB7,ROUND(SUM(IF($R$38:$R$50&gt;=AB8,IF($R$38:$R$50&lt;=DATE($Y6+1,4,15),$T$38:$T$50,0),0))/$H$26,0)),0)))</f>
        <v>0</v>
      </c>
      <c r="AC10" s="39">
        <f t="array" ref="AC10">IF($H$26=0,0,IF(ROUND(AC9/30*IF(ROUND(SUM(IF($R$38:$R$50&gt;=AC8,IF($R$38:$R$50&lt;=DATE($Y6+1,4,15),$T$38:$T$50,0),0))/$H$26,0)&gt;AC7,AC7,ROUND(SUM(IF($R$38:$R$50&gt;=AC8,IF($R$38:$R$50&lt;=DATE($Y6+1,4,15),$T$38:$T$50,0),0))/$H$26,0)),0)&gt;AC6,AC6,ROUND(AC9/30*IF(ROUND(SUM(IF($R$38:$R$50&gt;=AC8,IF($R$38:$R$50&lt;=DATE($Y6+1,4,15),$T$38:$T$50,0),0))/$H$26,0)&gt;AC7,AC7,ROUND(SUM(IF($R$38:$R$50&gt;=AC8,IF($R$38:$R$50&lt;=DATE($Y6+1,4,15),$T$38:$T$50,0),0))/$H$26,0)),0)))</f>
        <v>0</v>
      </c>
      <c r="AD10" s="354"/>
      <c r="AE10" s="311"/>
      <c r="AF10" s="312"/>
      <c r="AG10" s="356"/>
      <c r="AH10" s="19"/>
      <c r="AI10" s="19"/>
      <c r="AL10" s="173">
        <v>2026</v>
      </c>
      <c r="AM10" s="299" t="s">
        <v>101</v>
      </c>
      <c r="AN10" s="300"/>
      <c r="AO10" s="53"/>
      <c r="AP10" s="79"/>
      <c r="AQ10" s="53"/>
      <c r="AV10" s="22" t="s">
        <v>197</v>
      </c>
      <c r="AW10" s="331"/>
      <c r="AX10" s="331"/>
      <c r="AY10" s="331"/>
      <c r="AZ10" s="331"/>
      <c r="BA10" s="335"/>
      <c r="BB10" s="335"/>
      <c r="BC10" s="335"/>
      <c r="BD10" s="335"/>
      <c r="BT10" s="90" t="s">
        <v>113</v>
      </c>
      <c r="BU10" s="91" t="s">
        <v>120</v>
      </c>
      <c r="BV10" s="91" t="s">
        <v>114</v>
      </c>
      <c r="BW10" s="113"/>
    </row>
    <row r="11" spans="1:75" ht="12.75" customHeight="1" thickTop="1" thickBot="1" x14ac:dyDescent="0.25">
      <c r="B11" s="263"/>
      <c r="C11" s="32" t="s">
        <v>217</v>
      </c>
      <c r="D11" s="33"/>
      <c r="E11" s="168">
        <f>+AX1</f>
        <v>0</v>
      </c>
      <c r="F11" s="168"/>
      <c r="G11" s="168"/>
      <c r="H11" s="168"/>
      <c r="I11" s="168"/>
      <c r="J11" s="169"/>
      <c r="K11" s="32" t="s">
        <v>242</v>
      </c>
      <c r="L11" s="33"/>
      <c r="M11" s="199">
        <f>+Q1</f>
        <v>0</v>
      </c>
      <c r="N11" s="200"/>
      <c r="R11" s="206"/>
      <c r="S11" s="207"/>
      <c r="T11" s="207"/>
      <c r="U11" s="207"/>
      <c r="V11" s="207"/>
      <c r="W11" s="208"/>
      <c r="Y11" s="343"/>
      <c r="Z11" s="344"/>
      <c r="AA11" s="344"/>
      <c r="AB11" s="344"/>
      <c r="AC11" s="344"/>
      <c r="AD11" s="344"/>
      <c r="AE11" s="344"/>
      <c r="AF11" s="344"/>
      <c r="AG11" s="345"/>
      <c r="AH11" s="99" t="s">
        <v>78</v>
      </c>
      <c r="AI11" s="102"/>
      <c r="AL11" s="174"/>
      <c r="AM11" s="301" t="s">
        <v>2</v>
      </c>
      <c r="AN11" s="302"/>
      <c r="AO11" s="74"/>
      <c r="AP11" s="74"/>
      <c r="AQ11" s="74"/>
      <c r="AV11" s="22" t="s">
        <v>48</v>
      </c>
      <c r="AW11" s="331"/>
      <c r="AX11" s="331"/>
      <c r="AY11" s="331"/>
      <c r="AZ11" s="331"/>
      <c r="BA11" s="335"/>
      <c r="BB11" s="335"/>
      <c r="BC11" s="335"/>
      <c r="BD11" s="335"/>
      <c r="BT11" s="90" t="s">
        <v>108</v>
      </c>
      <c r="BU11" s="91" t="s">
        <v>121</v>
      </c>
      <c r="BV11" s="91" t="s">
        <v>116</v>
      </c>
      <c r="BW11" s="113"/>
    </row>
    <row r="12" spans="1:75" ht="12.75" customHeight="1" thickTop="1" x14ac:dyDescent="0.2">
      <c r="B12" s="263"/>
      <c r="C12" s="32" t="s">
        <v>34</v>
      </c>
      <c r="D12" s="33"/>
      <c r="E12" s="33"/>
      <c r="F12" s="84"/>
      <c r="G12" s="87"/>
      <c r="H12" s="190"/>
      <c r="I12" s="191"/>
      <c r="J12" s="192"/>
      <c r="R12" s="206"/>
      <c r="S12" s="207"/>
      <c r="T12" s="207"/>
      <c r="U12" s="207"/>
      <c r="V12" s="207"/>
      <c r="W12" s="208"/>
      <c r="Y12" s="173">
        <v>2026</v>
      </c>
      <c r="Z12" s="327" t="s">
        <v>40</v>
      </c>
      <c r="AA12" s="327"/>
      <c r="AB12" s="53"/>
      <c r="AC12" s="53"/>
      <c r="AD12" s="346" t="s">
        <v>41</v>
      </c>
      <c r="AE12" s="313"/>
      <c r="AF12" s="314"/>
      <c r="AG12" s="315"/>
      <c r="AH12" s="10" t="s">
        <v>80</v>
      </c>
      <c r="AI12" s="110"/>
      <c r="AL12" s="320"/>
      <c r="AM12" s="301" t="s">
        <v>41</v>
      </c>
      <c r="AN12" s="302"/>
      <c r="AO12" s="47"/>
      <c r="AP12" s="47"/>
      <c r="AQ12" s="77"/>
      <c r="AV12" s="22" t="s">
        <v>200</v>
      </c>
      <c r="AW12" s="331"/>
      <c r="AX12" s="331"/>
      <c r="AY12" s="331"/>
      <c r="AZ12" s="331"/>
      <c r="BA12" s="335"/>
      <c r="BB12" s="335"/>
      <c r="BC12" s="335"/>
      <c r="BD12" s="335"/>
      <c r="BT12" s="90" t="s">
        <v>108</v>
      </c>
      <c r="BU12" s="91" t="s">
        <v>122</v>
      </c>
      <c r="BV12" s="91" t="s">
        <v>154</v>
      </c>
      <c r="BW12" s="113"/>
    </row>
    <row r="13" spans="1:75" ht="12.75" customHeight="1" x14ac:dyDescent="0.2">
      <c r="B13" s="263"/>
      <c r="C13" s="32" t="str">
        <f>IF(AND($H13="NO",$H$16&gt;0,ROUND((+H16)/AT6,2)&gt;4000),"RESPONSABLE DEL IVA (CTO DE "&amp;TEXT(ROUND((+H16)/AT6,2),"#.##0,00")&amp;" UVT)","Responsabilidad del IVA")</f>
        <v>Responsabilidad del IVA</v>
      </c>
      <c r="D13" s="33"/>
      <c r="E13" s="33"/>
      <c r="F13" s="84"/>
      <c r="G13" s="87"/>
      <c r="H13" s="190"/>
      <c r="I13" s="191"/>
      <c r="J13" s="192"/>
      <c r="R13" s="206"/>
      <c r="S13" s="207"/>
      <c r="T13" s="207"/>
      <c r="U13" s="207"/>
      <c r="V13" s="207"/>
      <c r="W13" s="208"/>
      <c r="Y13" s="174"/>
      <c r="Z13" s="261" t="s">
        <v>45</v>
      </c>
      <c r="AA13" s="261"/>
      <c r="AB13" s="21"/>
      <c r="AC13" s="21"/>
      <c r="AD13" s="295"/>
      <c r="AE13" s="309"/>
      <c r="AF13" s="310"/>
      <c r="AG13" s="316"/>
      <c r="AH13" s="10" t="s">
        <v>79</v>
      </c>
      <c r="AI13" s="10" t="str">
        <f>IF(OR(AI11=0,AI12=0,AI12=""),"",INT(YEARFRAC(AI11,AI12)))</f>
        <v/>
      </c>
      <c r="AL13" s="175" t="s">
        <v>102</v>
      </c>
      <c r="AM13" s="32" t="str">
        <f>"Año "&amp;$Y$6-1</f>
        <v>Año 2024</v>
      </c>
      <c r="AN13" s="34"/>
      <c r="AO13" s="21"/>
      <c r="AP13" s="83"/>
      <c r="AQ13" s="21"/>
      <c r="AV13" s="22" t="s">
        <v>202</v>
      </c>
      <c r="AW13" s="331"/>
      <c r="AX13" s="331"/>
      <c r="AY13" s="331"/>
      <c r="AZ13" s="331"/>
      <c r="BA13" s="335"/>
      <c r="BB13" s="335"/>
      <c r="BC13" s="335"/>
      <c r="BD13" s="335"/>
      <c r="BT13" s="90" t="s">
        <v>108</v>
      </c>
      <c r="BU13" s="91" t="s">
        <v>124</v>
      </c>
      <c r="BV13" s="91" t="s">
        <v>120</v>
      </c>
      <c r="BW13" s="113"/>
    </row>
    <row r="14" spans="1:75" ht="12.75" customHeight="1" x14ac:dyDescent="0.2">
      <c r="B14" s="263"/>
      <c r="C14" s="32" t="s">
        <v>203</v>
      </c>
      <c r="D14" s="33"/>
      <c r="E14" s="33"/>
      <c r="F14" s="84"/>
      <c r="G14" s="87"/>
      <c r="H14" s="287"/>
      <c r="I14" s="288"/>
      <c r="J14" s="289"/>
      <c r="R14" s="206"/>
      <c r="S14" s="207"/>
      <c r="T14" s="207"/>
      <c r="U14" s="207"/>
      <c r="V14" s="207"/>
      <c r="W14" s="208"/>
      <c r="Y14" s="174"/>
      <c r="Z14" s="261" t="s">
        <v>41</v>
      </c>
      <c r="AA14" s="261"/>
      <c r="AB14" s="47"/>
      <c r="AC14" s="47"/>
      <c r="AD14" s="241" t="s">
        <v>14</v>
      </c>
      <c r="AE14" s="305"/>
      <c r="AF14" s="306"/>
      <c r="AG14" s="317"/>
      <c r="AL14" s="176"/>
      <c r="AM14" s="225" t="str">
        <f>"Año "&amp;$Y$6</f>
        <v>Año 2025</v>
      </c>
      <c r="AN14" s="226"/>
      <c r="AO14" s="93"/>
      <c r="AP14" s="94"/>
      <c r="AQ14" s="93"/>
      <c r="AV14" s="22"/>
      <c r="AW14" s="331"/>
      <c r="AX14" s="331"/>
      <c r="AY14" s="331"/>
      <c r="AZ14" s="331"/>
      <c r="BT14" s="90" t="s">
        <v>108</v>
      </c>
      <c r="BU14" s="91" t="s">
        <v>126</v>
      </c>
      <c r="BV14" s="91" t="s">
        <v>123</v>
      </c>
      <c r="BW14" s="113"/>
    </row>
    <row r="15" spans="1:75" ht="12.75" customHeight="1" x14ac:dyDescent="0.2">
      <c r="B15" s="263"/>
      <c r="C15" s="32" t="s">
        <v>199</v>
      </c>
      <c r="D15" s="33"/>
      <c r="E15" s="33"/>
      <c r="F15" s="84"/>
      <c r="G15" s="87"/>
      <c r="H15" s="190"/>
      <c r="I15" s="191"/>
      <c r="J15" s="192"/>
      <c r="R15" s="206"/>
      <c r="S15" s="207"/>
      <c r="T15" s="207"/>
      <c r="U15" s="207"/>
      <c r="V15" s="207"/>
      <c r="W15" s="208"/>
      <c r="Y15" s="175" t="s">
        <v>20</v>
      </c>
      <c r="Z15" s="261" t="s">
        <v>15</v>
      </c>
      <c r="AA15" s="261"/>
      <c r="AB15" s="27">
        <f>IF(AB14=0,0,IF(AB14&gt;=IF(DATE($Y12,1,1)+AB7&gt;=DATE($Y12,4,16),DATE($Y12,4,16),DATE($Y12,1,1)+AB7),AB14,IF(DATE($Y12,1,1)+AB7&gt;=DATE($Y12,4,16),DATE($Y12,4,16),DATE($Y12,1,1)+AB7)))</f>
        <v>0</v>
      </c>
      <c r="AC15" s="27">
        <f>IF(AC14=0,0,IF(AC14&gt;=IF(DATE($Y12,1,1)+AC7&gt;=DATE($Y12,4,16),DATE($Y12,4,16),DATE($Y12,1,1)+AC7),AC14,IF(DATE($Y12,1,1)+AC7&gt;=DATE($Y12,4,16),DATE($Y12,4,16),DATE($Y12,1,1)+AC7)))</f>
        <v>0</v>
      </c>
      <c r="AD15" s="241"/>
      <c r="AE15" s="309"/>
      <c r="AF15" s="310"/>
      <c r="AG15" s="316"/>
      <c r="AL15" s="177"/>
      <c r="AM15" s="225" t="str">
        <f>"Año "&amp;$Y$12</f>
        <v>Año 2026</v>
      </c>
      <c r="AN15" s="226"/>
      <c r="AO15" s="76">
        <f>AR51</f>
        <v>0</v>
      </c>
      <c r="AP15" s="76">
        <f>AS51</f>
        <v>0</v>
      </c>
      <c r="AQ15" s="76">
        <f>AT51</f>
        <v>0</v>
      </c>
      <c r="AV15" s="22"/>
      <c r="AW15" s="331"/>
      <c r="AX15" s="331"/>
      <c r="AY15" s="331"/>
      <c r="AZ15" s="331"/>
      <c r="BT15" s="90" t="s">
        <v>108</v>
      </c>
      <c r="BU15" s="91" t="s">
        <v>128</v>
      </c>
      <c r="BV15" s="91" t="s">
        <v>125</v>
      </c>
      <c r="BW15" s="113"/>
    </row>
    <row r="16" spans="1:75" ht="12.75" customHeight="1" thickBot="1" x14ac:dyDescent="0.25">
      <c r="B16" s="263"/>
      <c r="C16" s="137" t="s">
        <v>68</v>
      </c>
      <c r="D16" s="33"/>
      <c r="E16" s="33"/>
      <c r="F16" s="33"/>
      <c r="G16" s="46">
        <f>+AV1</f>
        <v>0</v>
      </c>
      <c r="H16" s="193">
        <f>+AY1</f>
        <v>0</v>
      </c>
      <c r="I16" s="194"/>
      <c r="J16" s="195"/>
      <c r="R16" s="209"/>
      <c r="S16" s="210"/>
      <c r="T16" s="210"/>
      <c r="U16" s="210"/>
      <c r="V16" s="210"/>
      <c r="W16" s="211"/>
      <c r="Y16" s="176"/>
      <c r="Z16" s="261" t="str">
        <f>"Mensual "&amp;$Y$12</f>
        <v>Mensual 2026</v>
      </c>
      <c r="AA16" s="261"/>
      <c r="AB16" s="28">
        <f>IF(OR(AB12=0,AB13=0),0,IF(ROUND(AB12/AB13*30,0)&gt;ROUND(100*INDEX($AT$5:$AT$7,MATCH($Y12,$AS$5:$AS$7,0),1)-1,-3),ROUND(100*INDEX($AT$5:$AT$7,MATCH($Y12,$AS$5:$AS$7,0),1)-1,-3),ROUND(AB12/AB13*30,0)))</f>
        <v>0</v>
      </c>
      <c r="AC16" s="28">
        <f>IF(OR(AC12=0,AC13=0),0,IF(ROUND(AC12/AC13*30,0)&gt;ROUND(16*INDEX($AT$5:$AT$7,MATCH($Y12,$AS$5:$AS$7,0),1)-1,-3),ROUND(16*INDEX($AT$5:$AT$7,MATCH($Y12,$AS$5:$AS$7,0),1)-1,-3),ROUND(AC12/AC13*30,0)))</f>
        <v>0</v>
      </c>
      <c r="AD16" s="241" t="s">
        <v>41</v>
      </c>
      <c r="AE16" s="305"/>
      <c r="AF16" s="306"/>
      <c r="AG16" s="317"/>
      <c r="AL16" s="36" t="s">
        <v>103</v>
      </c>
      <c r="AM16" s="37"/>
      <c r="AN16" s="38"/>
      <c r="AO16" s="39">
        <f>AO6-AO7+AO15</f>
        <v>0</v>
      </c>
      <c r="AP16" s="39">
        <f>AP6-AP7+AP15</f>
        <v>0</v>
      </c>
      <c r="AQ16" s="39">
        <f>AQ6-AQ7+AQ15</f>
        <v>0</v>
      </c>
      <c r="AV16" s="22"/>
      <c r="AW16" s="331"/>
      <c r="AX16" s="331"/>
      <c r="AY16" s="331"/>
      <c r="AZ16" s="331"/>
      <c r="BA16" s="67"/>
      <c r="BT16" s="90" t="s">
        <v>108</v>
      </c>
      <c r="BU16" s="91" t="s">
        <v>130</v>
      </c>
      <c r="BV16" s="91" t="s">
        <v>127</v>
      </c>
      <c r="BW16" s="113"/>
    </row>
    <row r="17" spans="2:75" ht="12.75" customHeight="1" thickTop="1" x14ac:dyDescent="0.2">
      <c r="B17" s="263"/>
      <c r="C17" s="170" t="s">
        <v>246</v>
      </c>
      <c r="D17" s="171"/>
      <c r="E17" s="171"/>
      <c r="F17" s="171"/>
      <c r="G17" s="172"/>
      <c r="H17" s="193">
        <f>+BB1</f>
        <v>0</v>
      </c>
      <c r="I17" s="194"/>
      <c r="J17" s="195"/>
      <c r="R17" s="212"/>
      <c r="S17" s="213"/>
      <c r="T17" s="213"/>
      <c r="U17" s="213"/>
      <c r="V17" s="213"/>
      <c r="W17" s="214"/>
      <c r="Y17" s="176"/>
      <c r="Z17" s="261" t="str">
        <f>"Mensual "&amp;$Y$12+1</f>
        <v>Mensual 2027</v>
      </c>
      <c r="AA17" s="261"/>
      <c r="AB17" s="28">
        <f>IF(OR(AB12=0,AB13=0,ISERROR(INDEX($AT$5:$AT$7,MATCH($Y12+1,$AS$5:$AS$7,0),1))=TRUE),0,IF(ROUND(AB12/AB13*30,0)&gt;ROUND(100*INDEX($AT$5:$AT$7,MATCH($Y12+1,$AS$5:$AS$7,0),1)-1,-3),ROUND(100*INDEX($AT$5:$AT$7,MATCH($Y12+1,$AS$5:$AS$7,0),1)-1,-3),ROUND(AB12/AB13*30,0)))</f>
        <v>0</v>
      </c>
      <c r="AC17" s="28">
        <f>IF(OR(AC12=0,AC13=0,ISERROR(INDEX($AT$5:$AT$7,MATCH($Y12+1,$AS$5:$AS$7,0),1))=TRUE),0,IF(ROUND(AC12/AC13*30,0)&gt;ROUND(16*INDEX($AT$5:$AT$7,MATCH($Y12+1,$AS$5:$AS$7,0),1)-1,-3),ROUND(16*INDEX($AT$5:$AT$7,MATCH($Y12+1,$AS$5:$AS$7,0),1)-1,-3),ROUND(AC12/AC13*30,0)))</f>
        <v>0</v>
      </c>
      <c r="AD17" s="241"/>
      <c r="AE17" s="309"/>
      <c r="AF17" s="310"/>
      <c r="AG17" s="316"/>
      <c r="AV17" s="22"/>
      <c r="AW17" s="329" t="s">
        <v>91</v>
      </c>
      <c r="AX17" s="329"/>
      <c r="AY17" s="329"/>
      <c r="AZ17" s="329"/>
      <c r="BT17" s="90" t="s">
        <v>108</v>
      </c>
      <c r="BU17" s="91" t="s">
        <v>132</v>
      </c>
      <c r="BV17" s="91" t="s">
        <v>129</v>
      </c>
      <c r="BW17" s="113"/>
    </row>
    <row r="18" spans="2:75" ht="12.75" customHeight="1" x14ac:dyDescent="0.3">
      <c r="B18" s="263"/>
      <c r="C18" s="32" t="s">
        <v>66</v>
      </c>
      <c r="D18" s="33"/>
      <c r="E18" s="33"/>
      <c r="F18" s="33"/>
      <c r="G18" s="34"/>
      <c r="H18" s="196">
        <f>+IF(H13="SI",ROUND(H17/1.19,0),H17)</f>
        <v>0</v>
      </c>
      <c r="I18" s="197"/>
      <c r="J18" s="198"/>
      <c r="R18" s="215"/>
      <c r="S18" s="216"/>
      <c r="T18" s="216"/>
      <c r="U18" s="216"/>
      <c r="V18" s="216"/>
      <c r="W18" s="217"/>
      <c r="Y18" s="177"/>
      <c r="Z18" s="261" t="s">
        <v>40</v>
      </c>
      <c r="AA18" s="261"/>
      <c r="AB18" s="62">
        <f t="array" ref="AB18">IF($H$26=0,0,IF(IF(AB16=AB17,ROUND(AB16/30*IF(ROUND(SUM(IF($R$38:$R$50&gt;=AB15,IF($R$38:$R$50&lt;=DATE($Y12+1,4,15),$T$38:$T$50,0),0))/$H$26,0)&gt;=AB13,AB13,ROUND(SUM(IF($R$38:$R$50&gt;=AB15,IF($R$38:$R$50&lt;=DATE($Y12+1,4,15),$T$38:$T$50,0),0))/$H$26,0)),0),ROUND(AB16/30*IF(ROUND(SUM(IF($R$38:$R$50&gt;=AB15,IF($R$38:$R$50&lt;=DATE($Y12,12,31),$T$38:$T$50,0),0))/$H$26,0)&gt;=AB13,AB13,ROUND(SUM(IF($R$38:$R$50&gt;=AB15,IF($R$38:$R$50&lt;=DATE($Y12,12,31),$T$38:$T$50,0),0))/$H$26,0)),0)+ROUND(IF(ROUND(SUM(IF($R$38:$R$50&gt;=AB15,IF($R$38:$R$50&lt;=DATE($Y12,12,31),$T$38:$T$50,0),0))/$H$26,0)&gt;=AB13,0,IF(AB13-ROUND(SUM(IF($R$38:$R$50&gt;=AB15,IF($R$38:$R$50&lt;=DATE($Y12,12,31),$T$38:$T$50,0),0))/$H$26,0)&gt;=ROUND(SUM(IF($R$38:$R$50&gt;=DATE($Y12+1,1,1),IF($R$38:$R$50&lt;=DATE($Y12+1,4,15),$T$38:$T$50,0),0))/$H$26,0),ROUND(SUM(IF($R$38:$R$50&gt;=DATE($Y12+1,1,1),IF($R$38:$R$50&lt;=DATE($Y12+1,4,15),$T$38:$T$50,0),0))/$H$26,0),ROUND(SUM(IF($R$38:$R$50&gt;=AB15,IF($R$38:$R$50&lt;=DATE($Y12,12,31),$T$38:$T$50,0),0))/$H$26,0)))*AB17/30,0))&gt;AB12,AB12, IF(AB16=AB17,ROUND(AB16/30*IF(ROUND(SUM(IF($R$38:$R$50&gt;=AB15,IF($R$38:$R$50&lt;=DATE($Y12+1,4,15),$T$38:$T$50,0),0))/$H$26,0)&gt;=AB13,AB13,ROUND(SUM(IF($R$38:$R$50&gt;=AB15,IF($R$38:$R$50&lt;=DATE($Y12+1,4,15),$T$38:$T$50,0),0))/$H$26,0)),0),ROUND(AB16/30*IF(ROUND(SUM(IF($R$38:$R$50&gt;=AB15,IF($R$38:$R$50&lt;=DATE($Y12,12,31),$T$38:$T$50,0),0))/$H$26,0)&gt;=AB13,AB13,ROUND(SUM(IF($R$38:$R$50&gt;=AB15,IF($R$38:$R$50&lt;=DATE($Y12,12,31),$T$38:$T$50,0),0))/$H$26,0)),0)+ROUND(IF(ROUND(SUM(IF($R$38:$R$50&gt;=AB15,IF($R$38:$R$50&lt;=DATE($Y12,12,31),$T$38:$T$50,0),0))/$H$26,0)&gt;=AB13,0,IF(AB13-ROUND(SUM(IF($R$38:$R$50&gt;=AB15,IF($R$38:$R$50&lt;=DATE($Y12,12,31),$T$38:$T$50,0),0))/$H$26,0)&gt;=ROUND(SUM(IF($R$38:$R$50&gt;=DATE($Y12+1,1,1),IF($R$38:$R$50&lt;=DATE($Y12+1,4,15),$T$38:$T$50,0),0))/$H$26,0),ROUND(SUM(IF($R$38:$R$50&gt;=DATE($Y12+1,1,1),IF($R$38:$R$50&lt;=DATE($Y12+1,4,15),$T$38:$T$50,0),0))/$H$26,0),ROUND(SUM(IF($R$38:$R$50&gt;=AB15,IF($R$38:$R$50&lt;=DATE($Y12,12,31),$T$38:$T$50,0),0))/$H$26,0)))*AB17/30,0))))</f>
        <v>0</v>
      </c>
      <c r="AC18" s="62">
        <f t="array" ref="AC18">IF($H$26=0,0,IF(IF(AC16=AC17,ROUND(AC16/30*IF(ROUND(SUM(IF($R$38:$R$50&gt;=AC15,IF($R$38:$R$50&lt;=DATE($Y12+1,4,15),$T$38:$T$50,0),0))/$H$26,0)&gt;=AC13,AC13,ROUND(SUM(IF($R$38:$R$50&gt;=AC15,IF($R$38:$R$50&lt;=DATE($Y12+1,4,15),$T$38:$T$50,0),0))/$H$26,0)),0),ROUND(AC16/30*IF(ROUND(SUM(IF($R$38:$R$50&gt;=AC15,IF($R$38:$R$50&lt;=DATE($Y12,12,31),$T$38:$T$50,0),0))/$H$26,0)&gt;=AC13,AC13,ROUND(SUM(IF($R$38:$R$50&gt;=AC15,IF($R$38:$R$50&lt;=DATE($Y12,12,31),$T$38:$T$50,0),0))/$H$26,0)),0)+ROUND(IF(ROUND(SUM(IF($R$38:$R$50&gt;=AC15,IF($R$38:$R$50&lt;=DATE($Y12,12,31),$T$38:$T$50,0),0))/$H$26,0)&gt;=AC13,0,IF(AC13-ROUND(SUM(IF($R$38:$R$50&gt;=AC15,IF($R$38:$R$50&lt;=DATE($Y12,12,31),$T$38:$T$50,0),0))/$H$26,0)&gt;=ROUND(SUM(IF($R$38:$R$50&gt;=DATE($Y12+1,1,1),IF($R$38:$R$50&lt;=DATE($Y12+1,4,15),$T$38:$T$50,0),0))/$H$26,0),ROUND(SUM(IF($R$38:$R$50&gt;=DATE($Y12+1,1,1),IF($R$38:$R$50&lt;=DATE($Y12+1,4,15),$T$38:$T$50,0),0))/$H$26,0),ROUND(SUM(IF($R$38:$R$50&gt;=AC15,IF($R$38:$R$50&lt;=DATE($Y12,12,31),$T$38:$T$50,0),0))/$H$26,0)))*AC17/30,0))&gt;AC12,AC12, IF(AC16=AC17,ROUND(AC16/30*IF(ROUND(SUM(IF($R$38:$R$50&gt;=AC15,IF($R$38:$R$50&lt;=DATE($Y12+1,4,15),$T$38:$T$50,0),0))/$H$26,0)&gt;=AC13,AC13,ROUND(SUM(IF($R$38:$R$50&gt;=AC15,IF($R$38:$R$50&lt;=DATE($Y12+1,4,15),$T$38:$T$50,0),0))/$H$26,0)),0),ROUND(AC16/30*IF(ROUND(SUM(IF($R$38:$R$50&gt;=AC15,IF($R$38:$R$50&lt;=DATE($Y12,12,31),$T$38:$T$50,0),0))/$H$26,0)&gt;=AC13,AC13,ROUND(SUM(IF($R$38:$R$50&gt;=AC15,IF($R$38:$R$50&lt;=DATE($Y12,12,31),$T$38:$T$50,0),0))/$H$26,0)),0)+ROUND(IF(ROUND(SUM(IF($R$38:$R$50&gt;=AC15,IF($R$38:$R$50&lt;=DATE($Y12,12,31),$T$38:$T$50,0),0))/$H$26,0)&gt;=AC13,0,IF(AC13-ROUND(SUM(IF($R$38:$R$50&gt;=AC15,IF($R$38:$R$50&lt;=DATE($Y12,12,31),$T$38:$T$50,0),0))/$H$26,0)&gt;=ROUND(SUM(IF($R$38:$R$50&gt;=DATE($Y12+1,1,1),IF($R$38:$R$50&lt;=DATE($Y12+1,4,15),$T$38:$T$50,0),0))/$H$26,0),ROUND(SUM(IF($R$38:$R$50&gt;=DATE($Y12+1,1,1),IF($R$38:$R$50&lt;=DATE($Y12+1,4,15),$T$38:$T$50,0),0))/$H$26,0),ROUND(SUM(IF($R$38:$R$50&gt;=AC15,IF($R$38:$R$50&lt;=DATE($Y12,12,31),$T$38:$T$50,0),0))/$H$26,0)))*AC17/30,0))))</f>
        <v>0</v>
      </c>
      <c r="AD18" s="241" t="s">
        <v>14</v>
      </c>
      <c r="AE18" s="305"/>
      <c r="AF18" s="306"/>
      <c r="AG18" s="123"/>
      <c r="AJ18" s="73"/>
      <c r="AK18" s="73"/>
      <c r="AL18" s="138" t="s">
        <v>220</v>
      </c>
      <c r="AM18" s="139"/>
      <c r="AN18" s="139"/>
      <c r="AO18" s="128"/>
      <c r="AP18" s="128"/>
      <c r="AQ18" s="128"/>
      <c r="AV18" s="22"/>
      <c r="AW18" s="330" t="s">
        <v>89</v>
      </c>
      <c r="AX18" s="330"/>
      <c r="AY18" s="330"/>
      <c r="AZ18" s="330"/>
      <c r="BT18" s="90" t="s">
        <v>108</v>
      </c>
      <c r="BU18" s="91" t="s">
        <v>134</v>
      </c>
      <c r="BV18" s="91" t="s">
        <v>131</v>
      </c>
      <c r="BW18" s="113"/>
    </row>
    <row r="19" spans="2:75" ht="12.75" customHeight="1" x14ac:dyDescent="0.2">
      <c r="B19" s="263"/>
      <c r="C19" s="137" t="s">
        <v>212</v>
      </c>
      <c r="D19" s="33"/>
      <c r="E19" s="33"/>
      <c r="F19" s="33"/>
      <c r="G19" s="34"/>
      <c r="H19" s="290">
        <f>+AT1</f>
        <v>0</v>
      </c>
      <c r="I19" s="291"/>
      <c r="J19" s="292"/>
      <c r="R19" s="215"/>
      <c r="S19" s="216"/>
      <c r="T19" s="216"/>
      <c r="U19" s="216"/>
      <c r="V19" s="216"/>
      <c r="W19" s="217"/>
      <c r="Y19" s="221" t="s">
        <v>59</v>
      </c>
      <c r="Z19" s="222"/>
      <c r="AA19" s="223"/>
      <c r="AB19" s="26">
        <f>AB10+AB18</f>
        <v>0</v>
      </c>
      <c r="AC19" s="26">
        <f>AC10+AC18</f>
        <v>0</v>
      </c>
      <c r="AD19" s="241"/>
      <c r="AE19" s="309"/>
      <c r="AF19" s="310"/>
      <c r="AG19" s="124"/>
      <c r="AJ19" s="48"/>
      <c r="AK19" s="48"/>
      <c r="AL19" s="139" t="s">
        <v>221</v>
      </c>
      <c r="AM19" s="139"/>
      <c r="AN19" s="139"/>
      <c r="AO19" s="128"/>
      <c r="AP19" s="128"/>
      <c r="AQ19" s="128"/>
      <c r="AR19" s="48"/>
      <c r="AV19" s="22"/>
      <c r="AW19" s="330"/>
      <c r="AX19" s="330"/>
      <c r="AY19" s="330"/>
      <c r="AZ19" s="330"/>
      <c r="BT19" s="90" t="s">
        <v>108</v>
      </c>
      <c r="BU19" s="91" t="s">
        <v>136</v>
      </c>
      <c r="BV19" s="91" t="s">
        <v>133</v>
      </c>
      <c r="BW19" s="113"/>
    </row>
    <row r="20" spans="2:75" ht="12.75" customHeight="1" x14ac:dyDescent="0.2">
      <c r="B20" s="263"/>
      <c r="C20" s="137" t="s">
        <v>213</v>
      </c>
      <c r="D20" s="33"/>
      <c r="E20" s="33"/>
      <c r="F20" s="33"/>
      <c r="G20" s="115"/>
      <c r="H20" s="290">
        <f>+AU1</f>
        <v>0</v>
      </c>
      <c r="I20" s="291"/>
      <c r="J20" s="292"/>
      <c r="R20" s="215"/>
      <c r="S20" s="216"/>
      <c r="T20" s="216"/>
      <c r="U20" s="216"/>
      <c r="V20" s="216"/>
      <c r="W20" s="217"/>
      <c r="AB20" s="41" t="str">
        <f>IF(AB19-Y51=0,"",AB19-Y51)</f>
        <v/>
      </c>
      <c r="AC20" s="41" t="str">
        <f>IF(AC19-Z51=0,"",AC19-Z51)</f>
        <v/>
      </c>
      <c r="AL20" s="139" t="s">
        <v>222</v>
      </c>
      <c r="AM20" s="139"/>
      <c r="AN20" s="139"/>
      <c r="AO20" s="128"/>
      <c r="AP20" s="128"/>
      <c r="AQ20" s="128"/>
      <c r="AV20" s="22"/>
      <c r="AW20" s="330"/>
      <c r="AX20" s="330"/>
      <c r="AY20" s="330"/>
      <c r="AZ20" s="330"/>
      <c r="BT20" s="90" t="s">
        <v>108</v>
      </c>
      <c r="BU20" s="91" t="s">
        <v>138</v>
      </c>
      <c r="BV20" s="91" t="s">
        <v>135</v>
      </c>
      <c r="BW20" s="113"/>
    </row>
    <row r="21" spans="2:75" ht="12.75" customHeight="1" x14ac:dyDescent="0.2">
      <c r="B21" s="263"/>
      <c r="C21" s="32" t="s">
        <v>53</v>
      </c>
      <c r="D21" s="33"/>
      <c r="E21" s="33"/>
      <c r="F21" s="33"/>
      <c r="G21" s="34"/>
      <c r="H21" s="227"/>
      <c r="I21" s="228"/>
      <c r="J21" s="229"/>
      <c r="R21" s="215"/>
      <c r="S21" s="216"/>
      <c r="T21" s="216"/>
      <c r="U21" s="216"/>
      <c r="V21" s="216"/>
      <c r="W21" s="217"/>
      <c r="AL21" s="139" t="s">
        <v>223</v>
      </c>
      <c r="AM21" s="139"/>
      <c r="AN21" s="139"/>
      <c r="AO21" s="128"/>
      <c r="AP21" s="128"/>
      <c r="AQ21" s="128"/>
      <c r="BT21" s="90" t="s">
        <v>108</v>
      </c>
      <c r="BU21" s="91" t="s">
        <v>140</v>
      </c>
      <c r="BV21" s="91" t="s">
        <v>137</v>
      </c>
      <c r="BW21" s="113"/>
    </row>
    <row r="22" spans="2:75" ht="12.75" customHeight="1" thickBot="1" x14ac:dyDescent="0.25">
      <c r="B22" s="264"/>
      <c r="C22" s="36" t="s">
        <v>54</v>
      </c>
      <c r="D22" s="37"/>
      <c r="E22" s="37"/>
      <c r="F22" s="37"/>
      <c r="G22" s="38"/>
      <c r="H22" s="242"/>
      <c r="I22" s="243"/>
      <c r="J22" s="244"/>
      <c r="R22" s="215"/>
      <c r="S22" s="216"/>
      <c r="T22" s="216"/>
      <c r="U22" s="216"/>
      <c r="V22" s="216"/>
      <c r="W22" s="217"/>
      <c r="AL22" s="139" t="s">
        <v>224</v>
      </c>
      <c r="AM22" s="139"/>
      <c r="AN22" s="139"/>
      <c r="AO22" s="128"/>
      <c r="AP22" s="128"/>
      <c r="AQ22" s="128"/>
      <c r="BT22" s="90" t="s">
        <v>108</v>
      </c>
      <c r="BU22" s="91" t="s">
        <v>142</v>
      </c>
      <c r="BV22" s="91" t="s">
        <v>139</v>
      </c>
      <c r="BW22" s="113"/>
    </row>
    <row r="23" spans="2:75" ht="12.75" customHeight="1" thickTop="1" x14ac:dyDescent="0.2">
      <c r="B23" s="262" t="s">
        <v>25</v>
      </c>
      <c r="C23" s="43" t="s">
        <v>56</v>
      </c>
      <c r="D23" s="44"/>
      <c r="E23" s="44"/>
      <c r="F23" s="44"/>
      <c r="G23" s="45"/>
      <c r="H23" s="245">
        <f>IF(OR(H19=0,H20=0),0,DAYS360(H19,H20)+IF(AND(MONTH(H19)=1,DAY(H19)&gt;1,DAY(H19)&lt;31,MONTH(H20)=2,DAY(H20)=28),4,IF(OR(AND(MONTH(H19)=1,DAY(H19)=31,MONTH(H20)=2,DAY(H20)=28),AND(MONTH(H19)&gt;=1,MONTH(H19)&lt;=2,DAY(H19)=1,MONTH(H20)=2,DAY(H20)=28)),3,IF(OR(AND(DAY(EOMONTH(H19,0))=31,DAY(H19)&lt;&gt;1,EOMONTH(H20,0)&lt;&gt;EOMONTH(H19,0),DAY(H20)&lt;&gt;31),AND(DAY(H19)=1,MONTH(H19)=2,DAY(H20)=29,MONTH(H20)=2)),2,IF(AND(MONTH(H19)=2,DAY(H19)&gt;1,DAY(H19)&lt;28,DAY(EOMONTH(H19,0))=28,MONTH(H19)&lt;MONTH(H20),DAY(H20)=31),-2,IF(OR(AND(MONTH(H19)=2,DAY(H19)&gt;1,DAY(H19)&lt;28,DAY(EOMONTH(H19,0))=28,MONTH(H19)&lt;MONTH(H20),DAY(H20)&lt;31),AND(MONTH(H19)=2,DAY(H19)&gt;1,MONTH(H20)&gt;MONTH(H19),DAY(H20)=31,DAY(EOMONTH(H19,0))=29)),-1,IF(OR(AND(DAY(H19)=1,H20=EOMONTH(H20,0),DAY(H20)=31),AND(DAY(H19)&gt;1,MONTH(H19)=2,DAY(EOMONTH(H19,0))=29,MONTH(H20)&gt;MONTH(H19),DAY(H20)&lt;31)),0,1)))))))</f>
        <v>0</v>
      </c>
      <c r="I23" s="246"/>
      <c r="J23" s="247"/>
      <c r="R23" s="215"/>
      <c r="S23" s="216"/>
      <c r="T23" s="216"/>
      <c r="U23" s="216"/>
      <c r="V23" s="216"/>
      <c r="W23" s="217"/>
      <c r="AL23" s="139" t="s">
        <v>225</v>
      </c>
      <c r="AM23" s="139"/>
      <c r="AN23" s="139"/>
      <c r="AO23" s="128"/>
      <c r="AP23" s="128"/>
      <c r="AQ23" s="128"/>
      <c r="BT23" s="90" t="s">
        <v>108</v>
      </c>
      <c r="BU23" s="91" t="s">
        <v>144</v>
      </c>
      <c r="BV23" s="91" t="s">
        <v>141</v>
      </c>
      <c r="BW23" s="113"/>
    </row>
    <row r="24" spans="2:75" ht="12.75" customHeight="1" x14ac:dyDescent="0.2">
      <c r="B24" s="263"/>
      <c r="C24" s="32" t="s">
        <v>55</v>
      </c>
      <c r="D24" s="33"/>
      <c r="E24" s="33"/>
      <c r="F24" s="33"/>
      <c r="G24" s="34"/>
      <c r="H24" s="248">
        <f>IF(OR(H21=0,H22=0),0,DAYS360(H21,H22)+IF(AND(MONTH(H21)=1,DAY(H21)&gt;1,DAY(H21)&lt;31,MONTH(H22)=2,DAY(H22)=28),4,IF(OR(AND(MONTH(H21)=1,DAY(H21)=31,MONTH(H22)=2,DAY(H22)=28),AND(MONTH(H21)&gt;=1,MONTH(H21)&lt;=2,DAY(H21)=1,MONTH(H22)=2,DAY(H22)=28)),3,IF(OR(AND(DAY(EOMONTH(H21,0))=31,DAY(H21)&lt;&gt;1,EOMONTH(H22,0)&lt;&gt;EOMONTH(H21,0),DAY(H22)&lt;&gt;31),AND(DAY(H21)=1,MONTH(H21)=2,DAY(H22)=29,MONTH(H22)=2)),2,IF(AND(MONTH(H21)=2,DAY(H21)&gt;1,DAY(H21)&lt;28,DAY(EOMONTH(H21,0))=28,MONTH(H21)&lt;MONTH(H22),DAY(H22)=31),-2,IF(OR(AND(MONTH(H21)=2,DAY(H21)&gt;1,DAY(H21)&lt;28,DAY(EOMONTH(H21,0))=28,MONTH(H21)&lt;MONTH(H22),DAY(H22)&lt;31),AND(MONTH(H21)=2,DAY(H21)&gt;1,MONTH(H22)&gt;MONTH(H21),DAY(H22)=31,DAY(EOMONTH(H21,0))=29)),-1,IF(OR(AND(DAY(H21)=1,H22=EOMONTH(H22,0),DAY(H22)=31),AND(DAY(H21)&gt;1,MONTH(H21)=2,DAY(EOMONTH(H21,0))=29,MONTH(H22)&gt;MONTH(H21),DAY(H22)&lt;31)),0,1)))))))</f>
        <v>0</v>
      </c>
      <c r="I24" s="249"/>
      <c r="J24" s="250"/>
      <c r="R24" s="215"/>
      <c r="S24" s="216"/>
      <c r="T24" s="216"/>
      <c r="U24" s="216"/>
      <c r="V24" s="216"/>
      <c r="W24" s="217"/>
      <c r="AL24" s="139" t="s">
        <v>226</v>
      </c>
      <c r="AM24" s="139"/>
      <c r="AN24" s="139"/>
      <c r="AO24" s="128"/>
      <c r="AP24" s="128"/>
      <c r="AQ24" s="128"/>
      <c r="BT24" s="90" t="s">
        <v>108</v>
      </c>
      <c r="BU24" s="91" t="s">
        <v>146</v>
      </c>
      <c r="BV24" s="91" t="s">
        <v>143</v>
      </c>
      <c r="BW24" s="113"/>
    </row>
    <row r="25" spans="2:75" ht="12.75" customHeight="1" x14ac:dyDescent="0.2">
      <c r="B25" s="263"/>
      <c r="C25" s="32" t="s">
        <v>57</v>
      </c>
      <c r="D25" s="33"/>
      <c r="E25" s="33"/>
      <c r="F25" s="33"/>
      <c r="G25" s="34"/>
      <c r="H25" s="251">
        <f>H23-H24</f>
        <v>0</v>
      </c>
      <c r="I25" s="252"/>
      <c r="J25" s="253"/>
      <c r="R25" s="215"/>
      <c r="S25" s="216"/>
      <c r="T25" s="216"/>
      <c r="U25" s="216"/>
      <c r="V25" s="216"/>
      <c r="W25" s="217"/>
      <c r="AL25" s="139"/>
      <c r="AM25" s="139" t="s">
        <v>227</v>
      </c>
      <c r="AN25" s="139"/>
      <c r="AO25" s="128"/>
      <c r="AP25" s="128"/>
      <c r="AQ25" s="128"/>
      <c r="BT25" s="90" t="s">
        <v>108</v>
      </c>
      <c r="BU25" s="91" t="s">
        <v>148</v>
      </c>
      <c r="BV25" s="91" t="s">
        <v>145</v>
      </c>
      <c r="BW25" s="113"/>
    </row>
    <row r="26" spans="2:75" ht="12.75" customHeight="1" x14ac:dyDescent="0.2">
      <c r="B26" s="263"/>
      <c r="C26" s="32" t="s">
        <v>250</v>
      </c>
      <c r="D26" s="33"/>
      <c r="E26" s="33"/>
      <c r="F26" s="33"/>
      <c r="G26" s="34"/>
      <c r="H26" s="254">
        <f>+ROUND(H18/30,0)</f>
        <v>0</v>
      </c>
      <c r="I26" s="255"/>
      <c r="J26" s="256"/>
      <c r="R26" s="215"/>
      <c r="S26" s="216"/>
      <c r="T26" s="216"/>
      <c r="U26" s="216"/>
      <c r="V26" s="216"/>
      <c r="W26" s="217"/>
      <c r="AL26" s="139"/>
      <c r="AM26" s="139" t="s">
        <v>228</v>
      </c>
      <c r="AN26" s="139"/>
      <c r="AO26" s="128"/>
      <c r="AP26" s="128"/>
      <c r="AQ26" s="128"/>
      <c r="BT26" s="90" t="s">
        <v>108</v>
      </c>
      <c r="BU26" s="91" t="s">
        <v>150</v>
      </c>
      <c r="BV26" s="91" t="s">
        <v>147</v>
      </c>
      <c r="BW26" s="113"/>
    </row>
    <row r="27" spans="2:75" ht="12.75" customHeight="1" thickBot="1" x14ac:dyDescent="0.25">
      <c r="B27" s="266"/>
      <c r="C27" s="35" t="str">
        <f>IF(OR(AND($T$51-$H27&gt;0,$T$51-$H27&lt;=100),AND($H27-$T$51&gt;0,$H27-$T$51&lt;=100)),"NO COINCIDE CON LA CELDA "&amp;SUBSTITUTE(ADDRESS(ROW(),COLUMN($T$51),4),ROW(),"")&amp;ROW($T$51)&amp;IF(AND($T$51-$H27&gt;0,$T$51-$H27&lt;=100),". SUME "&amp;TEXT($T$51-$H27,"$#.##0"),". RESTE "&amp;TEXT($H27-$T$51,"$#.##0")),"Valor Total a Pagar del Contrato (SIN IVA)")</f>
        <v>Valor Total a Pagar del Contrato (SIN IVA)</v>
      </c>
      <c r="D27" s="100"/>
      <c r="E27" s="100"/>
      <c r="F27" s="100"/>
      <c r="G27" s="101"/>
      <c r="H27" s="257">
        <f>ROUND(IF(OR(H$18=0,H$25=0),0,ROUND(H$18*INT(H$25/30)+(H$25-INT(H$25/30)*30)*H$26,0)),0)</f>
        <v>0</v>
      </c>
      <c r="I27" s="258"/>
      <c r="J27" s="259"/>
      <c r="R27" s="215"/>
      <c r="S27" s="216"/>
      <c r="T27" s="216"/>
      <c r="U27" s="216"/>
      <c r="V27" s="216"/>
      <c r="W27" s="217"/>
      <c r="AL27" s="139"/>
      <c r="AM27" s="139" t="s">
        <v>229</v>
      </c>
      <c r="AN27" s="139"/>
      <c r="AO27" s="128"/>
      <c r="AP27" s="128"/>
      <c r="AQ27" s="128"/>
      <c r="BT27" s="90" t="s">
        <v>108</v>
      </c>
      <c r="BU27" s="91" t="s">
        <v>152</v>
      </c>
      <c r="BV27" s="91" t="s">
        <v>149</v>
      </c>
      <c r="BW27" s="113"/>
    </row>
    <row r="28" spans="2:75" ht="12.75" customHeight="1" thickTop="1" x14ac:dyDescent="0.2">
      <c r="B28" s="262" t="s">
        <v>75</v>
      </c>
      <c r="C28" s="79" t="s">
        <v>211</v>
      </c>
      <c r="D28" s="284">
        <f>+V1</f>
        <v>0</v>
      </c>
      <c r="E28" s="285"/>
      <c r="F28" s="285"/>
      <c r="G28" s="285"/>
      <c r="H28" s="285"/>
      <c r="I28" s="285"/>
      <c r="J28" s="286"/>
      <c r="R28" s="215"/>
      <c r="S28" s="216"/>
      <c r="T28" s="216"/>
      <c r="U28" s="216"/>
      <c r="V28" s="216"/>
      <c r="W28" s="217"/>
      <c r="AL28" s="139" t="s">
        <v>230</v>
      </c>
      <c r="AM28" s="139"/>
      <c r="AN28" s="139"/>
      <c r="AO28" s="128"/>
      <c r="AP28" s="128"/>
      <c r="AQ28" s="128"/>
      <c r="BT28" s="90" t="s">
        <v>108</v>
      </c>
      <c r="BU28" s="91" t="s">
        <v>153</v>
      </c>
      <c r="BV28" s="91" t="s">
        <v>151</v>
      </c>
      <c r="BW28" s="113"/>
    </row>
    <row r="29" spans="2:75" ht="12.75" customHeight="1" x14ac:dyDescent="0.2">
      <c r="B29" s="263"/>
      <c r="C29" s="116" t="s">
        <v>248</v>
      </c>
      <c r="D29" s="116"/>
      <c r="E29" s="274">
        <f>+W1</f>
        <v>0</v>
      </c>
      <c r="F29" s="275"/>
      <c r="G29" s="275"/>
      <c r="H29" s="275"/>
      <c r="I29" s="275"/>
      <c r="J29" s="276"/>
      <c r="R29" s="215"/>
      <c r="S29" s="216"/>
      <c r="T29" s="216"/>
      <c r="U29" s="216"/>
      <c r="V29" s="216"/>
      <c r="W29" s="217"/>
      <c r="AL29" s="139"/>
      <c r="AM29" s="139"/>
      <c r="AN29" s="139"/>
      <c r="AO29" s="128"/>
      <c r="AP29" s="128"/>
      <c r="AQ29" s="128"/>
      <c r="BT29" s="90"/>
      <c r="BU29" s="91"/>
      <c r="BV29" s="142"/>
      <c r="BW29" s="113"/>
    </row>
    <row r="30" spans="2:75" ht="12.75" customHeight="1" x14ac:dyDescent="0.3">
      <c r="B30" s="263"/>
      <c r="C30" s="116" t="s">
        <v>104</v>
      </c>
      <c r="D30" s="281"/>
      <c r="E30" s="282"/>
      <c r="F30" s="282"/>
      <c r="G30" s="282"/>
      <c r="H30" s="282"/>
      <c r="I30" s="282"/>
      <c r="J30" s="283"/>
      <c r="R30" s="215"/>
      <c r="S30" s="216"/>
      <c r="T30" s="216"/>
      <c r="U30" s="216"/>
      <c r="V30" s="216"/>
      <c r="W30" s="217"/>
      <c r="AL30" s="138" t="s">
        <v>231</v>
      </c>
      <c r="AM30" s="140"/>
      <c r="AN30" s="140"/>
      <c r="AO30" s="48"/>
      <c r="AP30" s="128"/>
      <c r="AQ30" s="128"/>
      <c r="BT30" s="90" t="s">
        <v>108</v>
      </c>
      <c r="BU30" s="91" t="s">
        <v>155</v>
      </c>
      <c r="BV30" s="111"/>
      <c r="BW30" s="113"/>
    </row>
    <row r="31" spans="2:75" ht="12.75" customHeight="1" x14ac:dyDescent="0.2">
      <c r="B31" s="263"/>
      <c r="C31" s="85" t="s">
        <v>73</v>
      </c>
      <c r="D31" s="84"/>
      <c r="E31" s="84"/>
      <c r="F31" s="84"/>
      <c r="G31" s="86" t="str">
        <f>IF($G16=0,"",$G16-$S$51)</f>
        <v/>
      </c>
      <c r="H31" s="277" t="str">
        <f>IF(H$27=0,"",IF(H$13&lt;&gt;"SI",H$27-$T$51,IF(AND(ROUND(H$27*1.19,0)-$T$51-$AP$51&lt;=100,ROUND(H$27*1.19,0)-$T$51-$AP$51&gt;=-100),0,ROUND(H$27*1.19,0)-$T$51-$AP$51)))</f>
        <v/>
      </c>
      <c r="I31" s="278"/>
      <c r="J31" s="279"/>
      <c r="R31" s="215"/>
      <c r="S31" s="216"/>
      <c r="T31" s="216"/>
      <c r="U31" s="216"/>
      <c r="V31" s="216"/>
      <c r="W31" s="217"/>
      <c r="AL31" s="139" t="s">
        <v>232</v>
      </c>
      <c r="AM31" s="140"/>
      <c r="AN31" s="140"/>
      <c r="AO31" s="48"/>
      <c r="BT31" s="90" t="s">
        <v>108</v>
      </c>
      <c r="BU31" s="91" t="s">
        <v>156</v>
      </c>
      <c r="BV31" s="112"/>
      <c r="BW31" s="113"/>
    </row>
    <row r="32" spans="2:75" ht="12.75" customHeight="1" x14ac:dyDescent="0.2">
      <c r="B32" s="264"/>
      <c r="C32" s="32" t="s">
        <v>74</v>
      </c>
      <c r="D32" s="33"/>
      <c r="E32" s="33"/>
      <c r="F32" s="33"/>
      <c r="G32" s="33"/>
      <c r="H32" s="230" t="str">
        <f>IF(H$16=0,"",H$16-IF($G$31=0,$T$51+$AP$51,IF(H$13&lt;&gt;"SI",H$27,ROUND(H$27*1.19,0))))</f>
        <v/>
      </c>
      <c r="I32" s="231"/>
      <c r="J32" s="232"/>
      <c r="R32" s="218"/>
      <c r="S32" s="219"/>
      <c r="T32" s="219"/>
      <c r="U32" s="219"/>
      <c r="V32" s="219"/>
      <c r="W32" s="220"/>
      <c r="AL32" s="139" t="s">
        <v>224</v>
      </c>
      <c r="AM32" s="48"/>
      <c r="AN32" s="48"/>
      <c r="AO32" s="48"/>
      <c r="BT32" s="90" t="s">
        <v>108</v>
      </c>
      <c r="BU32" s="91" t="s">
        <v>157</v>
      </c>
      <c r="BV32" s="112"/>
      <c r="BW32" s="113"/>
    </row>
    <row r="33" spans="1:75" ht="12.75" customHeight="1" x14ac:dyDescent="0.2">
      <c r="AI33" s="63"/>
      <c r="BT33" s="90" t="s">
        <v>108</v>
      </c>
      <c r="BU33" s="91" t="s">
        <v>158</v>
      </c>
      <c r="BV33" s="112"/>
      <c r="BW33" s="113"/>
    </row>
    <row r="34" spans="1:75" s="17" customFormat="1" ht="12.75" customHeight="1" x14ac:dyDescent="0.2">
      <c r="A34" s="5"/>
      <c r="B34" s="12" t="s">
        <v>32</v>
      </c>
      <c r="C34" s="12"/>
      <c r="D34" s="12"/>
      <c r="E34" s="12"/>
      <c r="F34" s="12"/>
      <c r="G34" s="12"/>
      <c r="H34" s="12"/>
      <c r="I34" s="12"/>
      <c r="J34" s="12"/>
      <c r="K34" s="12"/>
      <c r="L34" s="12"/>
      <c r="M34" s="12"/>
      <c r="N34" s="12"/>
      <c r="O34" s="12"/>
      <c r="P34" s="12" t="s">
        <v>65</v>
      </c>
      <c r="Q34" s="12"/>
      <c r="R34" s="12"/>
      <c r="S34" s="29"/>
      <c r="T34" s="12"/>
      <c r="U34" s="12"/>
      <c r="V34" s="12"/>
      <c r="W34" s="12"/>
      <c r="X34" s="12"/>
      <c r="Y34" s="12"/>
      <c r="Z34" s="12"/>
      <c r="AA34" s="12"/>
      <c r="AB34" s="12"/>
      <c r="AC34" s="12"/>
      <c r="AD34" s="12"/>
      <c r="AE34" s="12"/>
      <c r="AF34" s="12"/>
      <c r="AG34" s="12"/>
      <c r="AH34" s="12"/>
      <c r="AI34" s="12" t="s">
        <v>27</v>
      </c>
      <c r="AJ34" s="12"/>
      <c r="AK34" s="12"/>
      <c r="AL34" s="12"/>
      <c r="AM34" s="12"/>
      <c r="AN34" s="12"/>
      <c r="AO34" s="12"/>
      <c r="AP34" s="12"/>
      <c r="AQ34" s="12"/>
      <c r="AR34" s="12"/>
      <c r="AS34" s="12"/>
      <c r="AT34" s="12"/>
      <c r="AU34" s="12"/>
      <c r="AV34" s="12"/>
      <c r="AW34" s="12"/>
      <c r="AX34" s="12"/>
      <c r="AY34" s="12"/>
      <c r="AZ34" s="12" t="s">
        <v>90</v>
      </c>
      <c r="BA34" s="12"/>
      <c r="BB34" s="12"/>
      <c r="BC34" s="12"/>
      <c r="BD34" s="12"/>
      <c r="BE34" s="12"/>
      <c r="BF34" s="12"/>
      <c r="BG34" s="12"/>
      <c r="BH34" s="163" t="s">
        <v>204</v>
      </c>
      <c r="BI34" s="163" t="s">
        <v>251</v>
      </c>
      <c r="BJ34" s="163" t="s">
        <v>205</v>
      </c>
      <c r="BK34" s="163" t="s">
        <v>206</v>
      </c>
      <c r="BL34" s="163" t="s">
        <v>214</v>
      </c>
      <c r="BM34" s="163" t="s">
        <v>207</v>
      </c>
      <c r="BN34" s="163" t="s">
        <v>206</v>
      </c>
      <c r="BO34" s="163" t="s">
        <v>214</v>
      </c>
      <c r="BP34" s="163" t="s">
        <v>208</v>
      </c>
      <c r="BQ34" s="163" t="s">
        <v>206</v>
      </c>
      <c r="BR34" s="163" t="s">
        <v>214</v>
      </c>
      <c r="BS34" s="132"/>
      <c r="BT34" s="90" t="s">
        <v>108</v>
      </c>
      <c r="BU34" s="91" t="s">
        <v>159</v>
      </c>
      <c r="BV34" s="112"/>
      <c r="BW34" s="113"/>
    </row>
    <row r="35" spans="1:75" s="6" customFormat="1" ht="25.2" customHeight="1" x14ac:dyDescent="0.2">
      <c r="A35" s="17"/>
      <c r="B35" s="269" t="s">
        <v>8</v>
      </c>
      <c r="C35" s="15" t="s">
        <v>26</v>
      </c>
      <c r="D35" s="15"/>
      <c r="E35" s="15"/>
      <c r="F35" s="54" t="s">
        <v>35</v>
      </c>
      <c r="G35" s="55"/>
      <c r="H35" s="35" t="s">
        <v>236</v>
      </c>
      <c r="I35" s="119"/>
      <c r="J35" s="119"/>
      <c r="K35" s="119"/>
      <c r="L35" s="119"/>
      <c r="M35" s="119"/>
      <c r="N35" s="129" t="s">
        <v>235</v>
      </c>
      <c r="O35" s="129"/>
      <c r="P35" s="16" t="s">
        <v>29</v>
      </c>
      <c r="Q35" s="16"/>
      <c r="R35" s="15"/>
      <c r="S35" s="30"/>
      <c r="T35" s="15"/>
      <c r="U35" s="56" t="s">
        <v>87</v>
      </c>
      <c r="V35" s="56"/>
      <c r="W35" s="233" t="s">
        <v>3</v>
      </c>
      <c r="X35" s="293" t="s">
        <v>4</v>
      </c>
      <c r="Y35" s="15" t="s">
        <v>85</v>
      </c>
      <c r="Z35" s="15"/>
      <c r="AA35" s="15"/>
      <c r="AB35" s="15"/>
      <c r="AC35" s="15" t="s">
        <v>86</v>
      </c>
      <c r="AD35" s="15"/>
      <c r="AE35" s="15"/>
      <c r="AF35" s="96"/>
      <c r="AG35" s="96"/>
      <c r="AH35" s="233" t="s">
        <v>82</v>
      </c>
      <c r="AI35" s="15" t="s">
        <v>84</v>
      </c>
      <c r="AJ35" s="15"/>
      <c r="AK35" s="15"/>
      <c r="AL35" s="15"/>
      <c r="AM35" s="114" t="s">
        <v>238</v>
      </c>
      <c r="AN35" s="131"/>
      <c r="AO35" s="130"/>
      <c r="AP35" s="114" t="s">
        <v>237</v>
      </c>
      <c r="AQ35" s="130"/>
      <c r="AR35" s="80" t="s">
        <v>93</v>
      </c>
      <c r="AS35" s="81"/>
      <c r="AT35" s="82"/>
      <c r="AU35" s="293" t="s">
        <v>94</v>
      </c>
      <c r="AV35" s="296" t="s">
        <v>31</v>
      </c>
      <c r="AW35" s="15" t="s">
        <v>30</v>
      </c>
      <c r="AX35" s="15"/>
      <c r="AY35" s="15"/>
      <c r="AZ35" s="233" t="s">
        <v>46</v>
      </c>
      <c r="BA35" s="15" t="s">
        <v>77</v>
      </c>
      <c r="BB35" s="15"/>
      <c r="BC35" s="15"/>
      <c r="BD35" s="15"/>
      <c r="BE35" s="15" t="s">
        <v>47</v>
      </c>
      <c r="BF35" s="15"/>
      <c r="BG35" s="15"/>
      <c r="BH35" s="164"/>
      <c r="BI35" s="164"/>
      <c r="BJ35" s="164"/>
      <c r="BK35" s="164"/>
      <c r="BL35" s="164"/>
      <c r="BM35" s="164"/>
      <c r="BN35" s="164"/>
      <c r="BO35" s="164"/>
      <c r="BP35" s="164"/>
      <c r="BQ35" s="164"/>
      <c r="BR35" s="164"/>
      <c r="BS35" s="132"/>
      <c r="BT35" s="90" t="s">
        <v>108</v>
      </c>
      <c r="BU35" s="91" t="s">
        <v>160</v>
      </c>
      <c r="BV35" s="112"/>
      <c r="BW35" s="113"/>
    </row>
    <row r="36" spans="1:75" s="6" customFormat="1" ht="12.75" customHeight="1" x14ac:dyDescent="0.2">
      <c r="B36" s="270"/>
      <c r="C36" s="272" t="s">
        <v>9</v>
      </c>
      <c r="D36" s="269" t="s">
        <v>239</v>
      </c>
      <c r="E36" s="241" t="s">
        <v>233</v>
      </c>
      <c r="F36" s="260" t="s">
        <v>19</v>
      </c>
      <c r="G36" s="273" t="s">
        <v>7</v>
      </c>
      <c r="H36" s="57" t="s">
        <v>6</v>
      </c>
      <c r="I36" s="15" t="s">
        <v>5</v>
      </c>
      <c r="J36" s="15"/>
      <c r="K36" s="15" t="s">
        <v>3</v>
      </c>
      <c r="L36" s="15"/>
      <c r="M36" s="269" t="s">
        <v>4</v>
      </c>
      <c r="N36" s="236" t="s">
        <v>209</v>
      </c>
      <c r="O36" s="236" t="s">
        <v>210</v>
      </c>
      <c r="P36" s="236" t="s">
        <v>247</v>
      </c>
      <c r="Q36" s="16" t="s">
        <v>50</v>
      </c>
      <c r="R36" s="15"/>
      <c r="S36" s="238" t="s">
        <v>36</v>
      </c>
      <c r="T36" s="239" t="s">
        <v>81</v>
      </c>
      <c r="U36" s="233" t="s">
        <v>6</v>
      </c>
      <c r="V36" s="233" t="s">
        <v>5</v>
      </c>
      <c r="W36" s="234"/>
      <c r="X36" s="294"/>
      <c r="Y36" s="233" t="s">
        <v>58</v>
      </c>
      <c r="Z36" s="233" t="s">
        <v>83</v>
      </c>
      <c r="AA36" s="347" t="s">
        <v>33</v>
      </c>
      <c r="AB36" s="348"/>
      <c r="AC36" s="15" t="s">
        <v>21</v>
      </c>
      <c r="AD36" s="15"/>
      <c r="AE36" s="361">
        <v>0.25</v>
      </c>
      <c r="AF36" s="363" t="s">
        <v>185</v>
      </c>
      <c r="AG36" s="363" t="s">
        <v>185</v>
      </c>
      <c r="AH36" s="234"/>
      <c r="AI36" s="15" t="s">
        <v>28</v>
      </c>
      <c r="AJ36" s="15"/>
      <c r="AK36" s="241" t="s">
        <v>2</v>
      </c>
      <c r="AL36" s="359" t="s">
        <v>18</v>
      </c>
      <c r="AM36" s="241" t="s">
        <v>23</v>
      </c>
      <c r="AN36" s="241" t="s">
        <v>2</v>
      </c>
      <c r="AO36" s="357" t="s">
        <v>18</v>
      </c>
      <c r="AP36" s="303" t="s">
        <v>10</v>
      </c>
      <c r="AQ36" s="321">
        <v>0.15</v>
      </c>
      <c r="AR36" s="323" t="s">
        <v>95</v>
      </c>
      <c r="AS36" s="323" t="s">
        <v>96</v>
      </c>
      <c r="AT36" s="323" t="s">
        <v>97</v>
      </c>
      <c r="AU36" s="294"/>
      <c r="AV36" s="297"/>
      <c r="AW36" s="241" t="s">
        <v>22</v>
      </c>
      <c r="AX36" s="241" t="s">
        <v>2</v>
      </c>
      <c r="AY36" s="241" t="s">
        <v>18</v>
      </c>
      <c r="AZ36" s="234"/>
      <c r="BA36" s="260" t="s">
        <v>6</v>
      </c>
      <c r="BB36" s="260" t="s">
        <v>5</v>
      </c>
      <c r="BC36" s="260" t="s">
        <v>3</v>
      </c>
      <c r="BD36" s="241" t="s">
        <v>4</v>
      </c>
      <c r="BE36" s="233" t="s">
        <v>6</v>
      </c>
      <c r="BF36" s="233" t="s">
        <v>5</v>
      </c>
      <c r="BG36" s="233" t="s">
        <v>3</v>
      </c>
      <c r="BH36" s="164"/>
      <c r="BI36" s="164"/>
      <c r="BJ36" s="164"/>
      <c r="BK36" s="164"/>
      <c r="BL36" s="164"/>
      <c r="BM36" s="164"/>
      <c r="BN36" s="164"/>
      <c r="BO36" s="164"/>
      <c r="BP36" s="164"/>
      <c r="BQ36" s="164"/>
      <c r="BR36" s="164"/>
      <c r="BS36" s="132"/>
      <c r="BT36" s="90" t="s">
        <v>108</v>
      </c>
      <c r="BU36" s="91" t="s">
        <v>161</v>
      </c>
      <c r="BV36" s="112"/>
      <c r="BW36" s="113"/>
    </row>
    <row r="37" spans="1:75" s="6" customFormat="1" ht="12.75" customHeight="1" x14ac:dyDescent="0.2">
      <c r="B37" s="271"/>
      <c r="C37" s="272"/>
      <c r="D37" s="271"/>
      <c r="E37" s="241"/>
      <c r="F37" s="260"/>
      <c r="G37" s="273"/>
      <c r="H37" s="23">
        <v>0.125</v>
      </c>
      <c r="I37" s="57" t="s">
        <v>2</v>
      </c>
      <c r="J37" s="23" t="s">
        <v>1</v>
      </c>
      <c r="K37" s="57" t="s">
        <v>2</v>
      </c>
      <c r="L37" s="23" t="s">
        <v>1</v>
      </c>
      <c r="M37" s="271"/>
      <c r="N37" s="237"/>
      <c r="O37" s="237"/>
      <c r="P37" s="237"/>
      <c r="Q37" s="60" t="s">
        <v>17</v>
      </c>
      <c r="R37" s="58" t="s">
        <v>41</v>
      </c>
      <c r="S37" s="238"/>
      <c r="T37" s="240"/>
      <c r="U37" s="235"/>
      <c r="V37" s="235"/>
      <c r="W37" s="235"/>
      <c r="X37" s="295"/>
      <c r="Y37" s="235"/>
      <c r="Z37" s="235"/>
      <c r="AA37" s="349"/>
      <c r="AB37" s="350"/>
      <c r="AC37" s="64" t="s">
        <v>1</v>
      </c>
      <c r="AD37" s="59" t="s">
        <v>20</v>
      </c>
      <c r="AE37" s="362"/>
      <c r="AF37" s="364"/>
      <c r="AG37" s="364"/>
      <c r="AH37" s="235"/>
      <c r="AI37" s="57" t="s">
        <v>16</v>
      </c>
      <c r="AJ37" s="58" t="s">
        <v>12</v>
      </c>
      <c r="AK37" s="241"/>
      <c r="AL37" s="360"/>
      <c r="AM37" s="241"/>
      <c r="AN37" s="241"/>
      <c r="AO37" s="358"/>
      <c r="AP37" s="304"/>
      <c r="AQ37" s="322"/>
      <c r="AR37" s="324"/>
      <c r="AS37" s="324"/>
      <c r="AT37" s="324"/>
      <c r="AU37" s="295"/>
      <c r="AV37" s="298"/>
      <c r="AW37" s="241"/>
      <c r="AX37" s="241"/>
      <c r="AY37" s="241"/>
      <c r="AZ37" s="235"/>
      <c r="BA37" s="260"/>
      <c r="BB37" s="260"/>
      <c r="BC37" s="260"/>
      <c r="BD37" s="241"/>
      <c r="BE37" s="235"/>
      <c r="BF37" s="235"/>
      <c r="BG37" s="235"/>
      <c r="BH37" s="165"/>
      <c r="BI37" s="165"/>
      <c r="BJ37" s="165"/>
      <c r="BK37" s="165"/>
      <c r="BL37" s="165"/>
      <c r="BM37" s="165"/>
      <c r="BN37" s="165"/>
      <c r="BO37" s="165"/>
      <c r="BP37" s="165"/>
      <c r="BQ37" s="165"/>
      <c r="BR37" s="165"/>
      <c r="BS37" s="132"/>
      <c r="BT37" s="90" t="s">
        <v>108</v>
      </c>
      <c r="BU37" s="91" t="s">
        <v>162</v>
      </c>
      <c r="BV37" s="112"/>
      <c r="BW37" s="113"/>
    </row>
    <row r="38" spans="1:75" ht="12.75" customHeight="1" x14ac:dyDescent="0.2">
      <c r="A38" s="48">
        <v>1</v>
      </c>
      <c r="B38" s="13">
        <f>DATE($AS$6,1,31)</f>
        <v>46053</v>
      </c>
      <c r="C38" s="98">
        <f>IF(OR($H$19=0,$H$20=0),0,IF(AND($H$19&gt;=EOMONTH($B38,-1)+1,$H$20&lt;=$B38),$H$25,IF(AND(EOMONTH($B38,-1)+1&gt;EOMONTH($H$19,0),$B38&lt;=EOMONTH($H$20,-1)),30-IF(OR($H$21=0,$H$22=0),0,IF(AND($B38=EOMONTH($H$21,0),$H$22&gt;$B38,$B38&gt;EOMONTH($H$19,0)),DAYS360($H$21,EOMONTH($H$21,0)+1),IF(AND($B38=EOMONTH($H$22,0),$B38&lt;$H$20,$H$21&lt;EOMONTH($B38,-1)+1),DAYS360(EOMONTH($H$22,-1)+1,$H$22+1),IF(AND(EOMONTH($B38,-1)+1&gt;EOMONTH($H$21,0),$B38&lt;=EOMONTH($H$22,-1)),30,IF(AND($B38=EOMONTH($H$21,0),$B38=EOMONTH($H$22,0)),$H$24,0))))),IF(AND($B38=EOMONTH($H$19,0),$B38&lt;$H$20),EOMONTH($H$19,0)-$H$19+IF(AND(MONTH($H$19)=2, DAY($H$19)=1,DAY(EOMONTH($H$19,0))=28),3,IF(AND(MONTH($H$19)=2, DAY($H$19)=1,DAY(EOMONTH($H$19,0))=29),2,IF(AND(DAY(EOMONTH($H$19,0))=31,DAY($H$19)=1),0,1)))-IF(AND($B38=EOMONTH($H$21,0),$H$22&gt;$B38,$H$20&gt;$B38),DAYS360($H$21,EOMONTH($H$21,0)+1),IF(AND($B38=EOMONTH($H$21,0),$B38=EOMONTH($H$22,0)),$H$24,0)),IF(AND($B38=EOMONTH($H$20,0)),$H$25-SUM($C$37:$C37),0)))))</f>
        <v>0</v>
      </c>
      <c r="D38" s="134"/>
      <c r="E38" s="144">
        <f>ROUND(IF(OR($H$19=0,$H$20=0),0,IF(AND($B38=EOMONTH($H$20,0)),$H$27-SUM($E$37:$E37),IF($C38=30,$H$18,IF($C38=31,$H$18+$H$26,$H$26*$C38)))),0)</f>
        <v>0</v>
      </c>
      <c r="F38" s="108">
        <f t="shared" ref="F38:F49" si="1">IF(S38=1,IF($E38=0,0,IF(ROUNDUP($E38*40%,0)&gt;=IF(MONTH($B38)=1,INDEX($AU$5:$AU$7,MATCH(YEAR($B38),$AS$5:$AS$7,0),1),INDEX($AU$5:$AU$7,MATCH(YEAR($B38),$AS$5:$AS$7,0),1))*25,IF(MONTH($B38)=1,INDEX($AU$5:$AU$7,MATCH(YEAR($B38),$AS$5:$AS$7,0),1),INDEX($AU$5:$AU$7,MATCH(YEAR($B38),$AS$5:$AS$7,0),1))*25,ROUNDUP($E38*40%,0))),IF($E38=0,0,IF(ROUNDUP($E38*40%,0)&lt;=IF(MONTH($B38)=1,INDEX($AU$5:$AU$7,MATCH(YEAR($B38)-1,$AS$5:$AS$7,0),1),INDEX($AU$5:$AU$7,MATCH(YEAR($B38),$AS$5:$AS$7,0),1)),IF(MONTH($B38)=1,INDEX($AU$5:$AU$7,MATCH(YEAR($B38)-1,$AS$5:$AS$7,0),1),INDEX($AU$5:$AU$7,MATCH(YEAR($B38),$AS$5:$AS$7,0),1)),IF(ROUNDUP($E38*40%,0)&gt;=IF(MONTH($B38)=1,INDEX($AU$5:$AU$7,MATCH(YEAR($B38)-1,$AS$5:$AS$7,0),1),INDEX($AU$5:$AU$7,MATCH(YEAR($B38),$AS$5:$AS$7,0),1))*25,IF(MONTH($B38)=1,INDEX($AU$5:$AU$7,MATCH(YEAR($B38)-1,$AS$5:$AS$7,0),1),INDEX($AU$5:$AU$7,MATCH(YEAR($B38),$AS$5:$AS$7,0),1))*25,ROUNDUP($E38*40%,0)))))</f>
        <v>0</v>
      </c>
      <c r="G38" s="71">
        <f>IF($E38=0,0,$F38/IF(MONTH($B38)=1,INDEX($AU$5:$AU$7,MATCH(YEAR($B38),$AS$5:$AS$7,0),1),INDEX($AU$5:$AU$7,MATCH(YEAR($B38),$AS$5:$AS$7,0),1)))</f>
        <v>0</v>
      </c>
      <c r="H38" s="109">
        <f t="shared" ref="H38:H49" si="2">ROUNDUP($F38*H$37,-2)</f>
        <v>0</v>
      </c>
      <c r="I38" s="3">
        <f t="shared" ref="I38:I49" si="3">IF(AND($E38=0,$B38&lt;&gt;$B37),0,IF($H$12="Si",0,IF(AND($B38=$B37,$I37&gt;=0),$I37,16%+IF($G38&lt;4,0,IF(AND($G38&gt;=4,$G38&lt;16),1%,IF(AND($G38&gt;=16,$G38&lt;17),1.2%,IF(AND($G38&gt;=17,$G38&lt;18),1.4%,IF(AND($G38&gt;=18,$G38&lt;19),1.6%,IF(AND($G38&gt;=19,$G38&lt;20),1.8%,IF($G38&gt;=20,2%))))))))))</f>
        <v>0</v>
      </c>
      <c r="J38" s="109">
        <f t="shared" ref="J38:J49" si="4">IF(OR($E38=0,$H$12="Si"),0,ROUNDUP($F38*I38,-2))</f>
        <v>0</v>
      </c>
      <c r="K38" s="120"/>
      <c r="L38" s="109">
        <f t="shared" ref="L38:L49" si="5">ROUNDUP($F38*$K38,-2)</f>
        <v>0</v>
      </c>
      <c r="M38" s="10">
        <f t="shared" ref="M38:M49" si="6">H38+J38+L38</f>
        <v>0</v>
      </c>
      <c r="N38" s="133"/>
      <c r="O38" s="133"/>
      <c r="P38" s="18"/>
      <c r="Q38" s="31"/>
      <c r="R38" s="61"/>
      <c r="S38" s="1" t="str">
        <f>IF(OR($R38&lt;&gt;0,$T38&lt;&gt;0),1+MAX(S$37:S37),"")</f>
        <v/>
      </c>
      <c r="T38" s="115"/>
      <c r="U38" s="11">
        <f t="shared" ref="U38:U49" si="7">IF(OR($T38=0,AND($B37=$B38,$H37=0),AND($B37&lt;&gt;$B38,$H38=0)),0,IF(AND($T38=$E38,ROUNDUP($T38*40%,0)&lt;=$F38,ISERROR(VLOOKUP($F38,$AU$5:$AU$7,1,0))=TRUE),$H38,ROUNDUP(ROUNDUP($T38*40%,0)*$H$37,-2)))</f>
        <v>0</v>
      </c>
      <c r="V38" s="11">
        <f t="shared" ref="V38:V49" si="8">IF(OR($T38=0,AND($B37=$B38,$J37=0),AND($B37&lt;&gt;$B38,$J38=0)),0,IF(AND($T38=$E38,ROUNDUP($T38*40%,0)&lt;=$F38,ISERROR(VLOOKUP($F38,$AU$5:$AU$7,1,0))=TRUE),$J38,ROUNDUP(ROUNDUP($T38*40%,0)*$I38,-2)))</f>
        <v>0</v>
      </c>
      <c r="W38" s="11">
        <f t="shared" ref="W38:W49" si="9">IF(OR($T38=0,AND($B37=$B38,$L37=0),AND($B37&lt;&gt;$B38,$L38=0)),0,IF(AND($T38=$E38,ROUNDUP($T38*40%,0)&lt;=$F38,ISERROR(VLOOKUP($F38,$AU$5:$AU$7,1,0))=TRUE),$L38,ROUNDUP(ROUNDUP($T38*40%,0)*$K38,-2)))</f>
        <v>0</v>
      </c>
      <c r="X38" s="10">
        <f t="shared" ref="X38:X49" si="10">SUM(U38:W38)</f>
        <v>0</v>
      </c>
      <c r="Y38" s="10">
        <f>IF(OR($H$18=0,$T38=0),0,IF(IF(AND(AB$8&lt;=$R38,$R38&lt;=DATE($Y$6+1,4,15)),IF(SUM(Y$37:Y37)+IF(AND(AB$7-ROUND(SUM($T$37:$T37)/$H$26,0)&gt;0,AB$7-ROUND(SUM($T$37:$T37)/$H$26,0)&lt;=ROUND($T38/$H$26,0)),ROUND((AB$7-ROUND(SUM($T$37:$T37)/$H$26,0))*AB$9/30,0),IF(AB$7-ROUND(SUM($T$37:$T37)/$H$26,0)&gt;ROUND($T38/$H$26,0),ROUND(AB$9/30*ROUND($T38/$H$26,0),0)))&lt;=AB$10+IF(AND($R38&gt;=AB$15,AB$15&gt;0),AB$18,0),IF(AND(AB$7-ROUND(SUM($T$37:$T37)/$H$26,0)&gt;0,AB$7-ROUND(SUM($T$37:$T37)/$H$26,0)&lt;=ROUND($T38/$H$26,0)),ROUND((AB$7-ROUND(SUM($T$37:$T37)/$H$26,0))*AB$9/30,0),IF(AB$7-ROUND(SUM($T$37:$T37)/$H$26,0)&gt;ROUND($T38/$H$26,0),ROUND(AB$9/30*ROUND($T38/$H$26,0),0))), AB$10+ IF(AND($R38&gt;=AB$15,AB$15&gt;0),AB$18,0)-SUM(Y$37:Y37)),0)+IF(OR(AND($R38&lt;=DATE($Y$6+1,4,15),AB$15&lt;=DATE($Y$6+1,4,15),AB$15&gt;0,AB$7-ROUND(SUM($T$37:$T37)/$H$26,0)&gt;=ROUND($T38/$H$26,0)), AB$15&gt;$R38),0,IF(AND($R38&lt;=DATE($Y$6+1,4,15),AB$15&lt;=DATE($Y$6+1,4,15),AB$15&gt;0,AB$7-ROUND(SUM($T$37:$T37)/$H$26,0)&gt;0,AB$7-ROUND(SUM($T$37:$T37)/$H$26,0)&lt;ROUND($T38/$H$26,0)),(ROUND($T38/$H$26,0)-(AB$7-ROUND(SUM($T$37:$T37)/$H$26,0)))*ROUND(AB$16/30,0),IF(AND($R38&gt;=AB$15,AB$15&gt;0,$R38&lt;=DATE($Y$12+1,4,15)),IF(SUM(Y$37:Y37)+ROUND(IF(YEAR($R38)=$Y$12,AB$16,IF(YEAR($R38)=$Y$12+1,AB$17,0))/30*ROUND($T38/$H$26,0),0)&lt;=AB$10+IF(AND($R38&gt;=AB$15,AB$15&gt;0),AB$18,0),ROUND(IF(YEAR($R38)=$Y$12,AB$16,IF(YEAR($R38)=$Y$12+1,AB$17,0))/30*ROUND($T38/$H$26,0),0),AB$10+AB$18-SUM(Y$37:Y37)),0)))&gt;ROUND(ROUND(100*INDEX($AT$5:$AT$7,MATCH(YEAR($R38),$AS$5:$AS$7,0),1)-1,-3)/30*ROUND($T38/$H$26,0),0),ROUND(ROUND(100*INDEX($AT$5:$AT$7,MATCH(YEAR($R38),$AS$5:$AS$7,0),1)-1,-3)/30*ROUND($T38/$H$26,0),0), IF(AND(AB$8&lt;=$R38,$R38&lt;=DATE($Y$6+1,4,15)),IF(SUM(Y$37:Y37)+IF(AND(AB$7-ROUND(SUM($T$37:$T37)/$H$26,0)&gt;0,AB$7-ROUND(SUM($T$37:$T37)/$H$26,0)&lt;=ROUND($T38/$H$26,0)),ROUND((AB$7-ROUND(SUM($T$37:$T37)/$H$26,0))*AB$9/30,0),IF(AB$7-ROUND(SUM($T$37:$T37)/$H$26,0)&gt;ROUND($T38/$H$26,0),ROUND(AB$9/30*ROUND($T38/$H$26,0),0)))&lt;=AB$10+IF(AND($R38&gt;=AB$15,AB$15&gt;0),AB$18,0),IF(AND(AB$7-ROUND(SUM($T$37:$T37)/$H$26,0)&gt;0,AB$7-ROUND(SUM($T$37:$T37)/$H$26,0)&lt;=ROUND($T38/$H$26,0)),ROUND((AB$7-ROUND(SUM($T$37:$T37)/$H$26,0))*AB$9/30,0),IF(AB$7-ROUND(SUM($T$37:$T37)/$H$26,0)&gt;ROUND($T38/$H$26,0),ROUND(AB$9/30*ROUND($T38/$H$26,0),0))), AB$10+ IF(AND($R38&gt;=AB$15,AB$15&gt;0),AB$18,0)-SUM(Y$37:Y37)),0)+IF(OR(AND($R38&lt;=DATE($Y$6+1,4,15),AB$15&lt;=DATE($Y$6+1,4,15),AB$15&gt;0,AB$7-ROUND(SUM($T$37:$T37)/$H$26,0)&gt;=ROUND($T38/$H$26,0)), AB$15&gt;$R38),0,IF(AND($R38&lt;=DATE($Y$6+1,4,15),AB$15&lt;=DATE($Y$6+1,4,15),AB$15&gt;0,AB$7-ROUND(SUM($T$37:$T37)/$H$26,0)&gt;0,AB$7-ROUND(SUM($T$37:$T37)/$H$26,0)&lt;ROUND($T38/$H$26,0)),(ROUND($T38/$H$26,0)-(AB$7-ROUND(SUM($T$37:$T37)/$H$26,0)))*ROUND(AB$16/30,0),IF(AND($R38&gt;=AB$15,AB$15&gt;0,$R38&lt;=DATE($Y$12+1,4,15)),IF(SUM(Y$37:Y37)+ROUND(IF(YEAR($R38)=$Y$12,AB$16,IF(YEAR($R38)=$Y$12+1,AB$17,0))/30*ROUND($T38/$H$26,0),0)&lt;=AB$10+IF(AND($R38&gt;=AB$15,AB$15&gt;0),AB$18,0),ROUND(IF(YEAR($R38)=$Y$12,AB$16,IF(YEAR($R38)=$Y$12+1,AB$17,0))/30*ROUND($T38/$H$26,0),0),AB$10+AB$18-SUM(Y$37:Y37)),0)))))</f>
        <v>0</v>
      </c>
      <c r="Z38" s="10">
        <f>IF(OR($H$18=0,$T38=0),0,IF(IF(AND(AC$8&lt;=$R38,$R38&lt;=DATE($Y$6+1,4,15)),IF(SUM(Z$37:Z37)+IF(AND(AC$7-ROUND(SUM($T$37:$T37)/$H$26,0)&gt;0,AC$7-ROUND(SUM($T$37:$T37)/$H$26,0)&lt;=ROUND($T38/$H$26,0)),ROUND((AC$7-ROUND(SUM($T$37:$T37)/$H$26,0))*AC$9/30,0),IF(AC$7-ROUND(SUM($T$37:$T37)/$H$26,0)&gt;ROUND($T38/$H$26,0),ROUND(AC$9/30*ROUND($T38/$H$26,0),0)))&lt;=AC$10+IF(AND($R38&gt;=AC$15,AC$15&gt;0),AC$18,0),IF(AND(AC$7-ROUND(SUM($T$37:$T37)/$H$26,0)&gt;0,AC$7-ROUND(SUM($T$37:$T37)/$H$26,0)&lt;=ROUND($T38/$H$26,0)),ROUND((AC$7-ROUND(SUM($T$37:$T37)/$H$26,0))*AC$9/30,0),IF(AC$7-ROUND(SUM($T$37:$T37)/$H$26,0)&gt;ROUND($T38/$H$26,0),ROUND(AC$9/30*ROUND($T38/$H$26,0),0))), AC$10+ IF(AND($R38&gt;=AC$15,AC$15&gt;0),AC$18,0)-SUM(Z$37:Z37)),0)+IF(OR(AND($R38&lt;=DATE($Y$6+1,4,15),AC$15&lt;=DATE($Y$6+1,4,15),AC$15&gt;0,AC$7-ROUND(SUM($T$37:$T37)/$H$26,0)&gt;=ROUND($T38/$H$26,0)), AC$15&gt;$R38),0,IF(AND($R38&lt;=DATE($Y$6+1,4,15),AC$15&lt;=DATE($Y$6+1,4,15),AC$15&gt;0,AC$7-ROUND(SUM($T$37:$T37)/$H$26,0)&gt;0,AC$7-ROUND(SUM($T$37:$T37)/$H$26,0)&lt;ROUND($T38/$H$26,0)),(ROUND($T38/$H$26,0)-(AC$7-ROUND(SUM($T$37:$T37)/$H$26,0)))*ROUND(AC$16/30,0),IF(AND($R38&gt;=AC$15,AC$15&gt;0,$R38&lt;=DATE($Y$12+1,4,15)),IF(SUM(Z$37:Z37)+ROUND(IF(YEAR($R38)=$Y$12,AC$16,IF(YEAR($R38)=$Y$12+1,AC$17,0))/30*ROUND($T38/$H$26,0),0)&lt;=AC$10+IF(AND($R38&gt;=AC$15,AC$15&gt;0),AC$18,0),ROUND(IF(YEAR($R38)=$Y$12,AC$16,IF(YEAR($R38)=$Y$12+1,AC$17,0))/30*ROUND($T38/$H$26,0),0),AC$10+AC$18-SUM(Z$37:Z37)),0)))&gt;ROUND(ROUND(16*INDEX($AT$5:$AT$7,MATCH(YEAR($R38),$AS$5:$AS$7,0),1)-1,-3)/30*ROUND($T38/$H$26,0),0),ROUND(ROUND(16*INDEX($AT$5:$AT$7,MATCH(YEAR($R38),$AS$5:$AS$7,0),1)-1,-3)/30*ROUND($T38/$H$26,0),0), IF(AND(AC$8&lt;=$R38,$R38&lt;=DATE($Y$6+1,4,15)),IF(SUM(Z$37:Z37)+IF(AND(AC$7-ROUND(SUM($T$37:$T37)/$H$26,0)&gt;0,AC$7-ROUND(SUM($T$37:$T37)/$H$26,0)&lt;=ROUND($T38/$H$26,0)),ROUND((AC$7-ROUND(SUM($T$37:$T37)/$H$26,0))*AC$9/30,0),IF(AC$7-ROUND(SUM($T$37:$T37)/$H$26,0)&gt;ROUND($T38/$H$26,0),ROUND(AC$9/30*ROUND($T38/$H$26,0),0)))&lt;=AC$10+IF(AND($R38&gt;=AC$15,AC$15&gt;0),AC$18,0),IF(AND(AC$7-ROUND(SUM($T$37:$T37)/$H$26,0)&gt;0,AC$7-ROUND(SUM($T$37:$T37)/$H$26,0)&lt;=ROUND($T38/$H$26,0)),ROUND((AC$7-ROUND(SUM($T$37:$T37)/$H$26,0))*AC$9/30,0),IF(AC$7-ROUND(SUM($T$37:$T37)/$H$26,0)&gt;ROUND($T38/$H$26,0),ROUND(AC$9/30*ROUND($T38/$H$26,0),0))), AC$10+ IF(AND($R38&gt;=AC$15,AC$15&gt;0),AC$18,0)-SUM(Z$37:Z37)),0)+IF(OR(AND($R38&lt;=DATE($Y$6+1,4,15),AC$15&lt;=DATE($Y$6+1,4,15),AC$15&gt;0,AC$7-ROUND(SUM($T$37:$T37)/$H$26,0)&gt;=ROUND($T38/$H$26,0)), AC$15&gt;$R38),0,IF(AND($R38&lt;=DATE($Y$6+1,4,15),AC$15&lt;=DATE($Y$6+1,4,15),AC$15&gt;0,AC$7-ROUND(SUM($T$37:$T37)/$H$26,0)&gt;0,AC$7-ROUND(SUM($T$37:$T37)/$H$26,0)&lt;ROUND($T38/$H$26,0)),(ROUND($T38/$H$26,0)-(AC$7-ROUND(SUM($T$37:$T37)/$H$26,0)))*ROUND(AC$16/30,0),IF(AND($R38&gt;=AC$15,AC$15&gt;0,$R38&lt;=DATE($Y$12+1,4,15)),IF(SUM(Z$37:Z37)+ROUND(IF(YEAR($R38)=$Y$12,AC$16,IF(YEAR($R38)=$Y$12+1,AC$17,0))/30*ROUND($T38/$H$26,0),0)&lt;=AC$10+IF(AND($R38&gt;=AC$15,AC$15&gt;0),AC$18,0),ROUND(IF(YEAR($R38)=$Y$12,AC$16,IF(YEAR($R38)=$Y$12+1,AC$17,0))/30*ROUND($T38/$H$26,0),0),AC$10+AC$18-SUM(Z$37:Z37)),0)))))</f>
        <v>0</v>
      </c>
      <c r="AA38" s="97" t="str">
        <f t="shared" ref="AA38:AA49" si="11">IF(OR($H$18=0,$T38=0),"No",IF(AND($AG$6&gt;0,$AG$6&lt;$R38,$R38&lt;=IF(AND($AG$9&gt;=DATE($Y$6,1,1),$AG$9&lt;DATE($Y$6+1,4,15)),$AG$9,DATE($Y$6+1,4,15))),"Si",IF(AND($AG$12&gt;=DATE($Y$12,1,1),$AG$12&lt;=$R38,$R38&lt;=IF(AND($AG$14&gt;=DATE($Y$12,1,1),$AG$14&lt;DATE($Y$12+1,4,15)),$AG$14,DATE($Y$12+1,4,15))),"Si",IF(AND($AG$16&gt;=DATE($Y$12,1,1),$AG$16&lt;=$R38,$R38&lt;=IF(AND($AG$18&gt;=DATE($Y$12,1,1),$AG$18&lt;DATE($Y$12+1,4,15)),$AG$18,DATE($Y$12+1,4,15))),"Si","No"))))</f>
        <v>No</v>
      </c>
      <c r="AB38" s="10">
        <f t="shared" ref="AB38:AB49" si="12">IF($AA38="SI",IF(ROUND($T38*10%,0)&lt;=ROUND(ROUND(32*INDEX($AT$5:$AT$7,MATCH(YEAR($R38),$AS$5:$AS$7,0),1)-1,-3)*$T38/$H$18,0),ROUND($T38*10%,0),ROUND(ROUND(32*INDEX($AT$5:$AT$7,MATCH(YEAR($R38),$AS$5:$AS$7,0),1)-1,-3)*$T38/$H$18,0)),0)</f>
        <v>0</v>
      </c>
      <c r="AC38" s="19"/>
      <c r="AD38" s="10">
        <f t="shared" ref="AD38:AD49" si="13">IF($AC38=0,0,IF(AND($R38&gt;0,$R38&lt;DATE(2017,3,1)),IF($V38+$AC38&gt;ROUND($T38*30%,0),ROUND($T38*30%,0)-$V38,$AC38),IF(AND($R38&gt;0,$R38&gt;=DATE(2017,3,1)),IF($AC38&gt;ROUND($T38*30%,0),ROUND($T38*30%,0),$AC38),0)))</f>
        <v>0</v>
      </c>
      <c r="AE38" s="10">
        <f t="shared" ref="AE38:AE49" si="14">IF(OR($T38=0,$T38-$X38-$Y38-$Z38-$AB38-$AD38&lt;=0,ISERROR(INDEX($AT$5:$AT$7,MATCH(YEAR($R38),$AS$5:$AS$7,0),1))=TRUE),0,IF(ROUND(($T38-$X38-$Y38-$Z38-$AB38-$AD38)*25%,0)&lt;=ROUND(ROUND($T38/$H$18,2)*66*INDEX($AT$5:$AT$7,MATCH(YEAR($R38),$AS$5:$AS$7,0),1)-1,-3),ROUND(($T38-$X38-$Y38-$Z38-$AB38-$AD38)*25%,0),ROUND(ROUND($T38/$H$18,2)*66*INDEX($AT$5:$AT$7,MATCH(YEAR($R38),$AS$5:$AS$7,0),1)-1,-3)))</f>
        <v>0</v>
      </c>
      <c r="AF38" s="10">
        <f t="shared" ref="AF38:AF49" si="15">IF(OR($R38&lt;DATE(2017,3,1),$Y38+$Z38+$AB38+$AD38+$AE38&lt;=ROUND(($T38-$U38-$V38-$W38)*40%,0)),0,ROUND(($T38-$U38-$V38-$W38)*40%,0))</f>
        <v>0</v>
      </c>
      <c r="AG38" s="10">
        <f t="shared" ref="AG38:AG49" si="16">+IF($AF38&lt;=100*$AT$6,$AF38,100*$AT$6)</f>
        <v>0</v>
      </c>
      <c r="AH38" s="10">
        <f t="shared" ref="AH38:AH49" si="17">IF(AND($AF38=0,$AG38=0),0,IF($AF38&lt;=$AG38,$AF38-($Y38+$Z38+$AB38+$AD38+$AE38),$AG38-($Y38+$Z38+$AB38+$AD38+$AE38)))</f>
        <v>0</v>
      </c>
      <c r="AI38" s="10">
        <f t="shared" ref="AI38:AI49" si="18">IF($H$14="NO",IF(OR($T38=0,$T38-$X38-$Y38-$Z38-$AB38-$AD38-$AE38-$AH38&lt;=0),0,$T38-$X38-$Y38-$Z38-$AB38-$AD38-$AE38-$AH38),0)</f>
        <v>0</v>
      </c>
      <c r="AJ38" s="2">
        <f t="shared" ref="AJ38:AJ49" si="19">IF(OR($T38=0,ISERROR(INDEX($AT$5:$AT$7,MATCH(YEAR($R38),$AS$5:$AS$7,0),1))=TRUE),0,ROUND(IF($T38=$H$18,$AI38,ROUND(($AI38/($T38/$H$26))*30,0))/INDEX($AT$5:$AT$7,MATCH(YEAR($R38),$AS$5:$AS$7,0),1),2))</f>
        <v>0</v>
      </c>
      <c r="AK38" s="3">
        <f t="shared" ref="AK38:AK49" si="20">IF(AJ38=0,0,ROUND(ROUND(IF(AJ38&lt;=95,0,IF(AND(AJ38&gt;95,AJ38&lt;=150),(AJ38-95)*19%,IF(AND(AJ38&gt;150,AJ38&lt;=360),(AJ38-150)*28%+10,IF(AND(AJ38&gt;360,AJ38&lt;=640),(AJ38-360)*33%+69,IF(AND(AJ38&gt;640,AJ38&lt;=945),(AJ38-640)*35%+162,IF(AND(AJ38&gt;945,AJ38&lt;=2300),(AJ38-945)*37%+268,(AJ38-2300)*39%+770)))))),2)/AJ38,4))</f>
        <v>0</v>
      </c>
      <c r="AL38" s="10">
        <f t="shared" ref="AL38:AL49" si="21">IF(AK38=0,0,ROUND(AI38*AK38,0))</f>
        <v>0</v>
      </c>
      <c r="AM38" s="10">
        <f t="shared" ref="AM38:AM49" si="22">IF($H$14="NO",IF(OR($T38=0,$T38-$X38&lt;0),0,$T38-$X38),0)</f>
        <v>0</v>
      </c>
      <c r="AN38" s="20"/>
      <c r="AO38" s="10">
        <f t="shared" ref="AO38:AO49" si="23">ROUND($AM38*$AN38,0)</f>
        <v>0</v>
      </c>
      <c r="AP38" s="11">
        <f t="shared" ref="AP38:AP49" si="24">IF($H$13="SI",ROUND($T38*19%,0),0)</f>
        <v>0</v>
      </c>
      <c r="AQ38" s="10">
        <f t="shared" ref="AQ38:AQ49" si="25">ROUND($AP38*AQ$36,0)</f>
        <v>0</v>
      </c>
      <c r="AR38" s="10">
        <f t="shared" ref="AR38:AR49" si="26">IF(OR($H$18=0,$T38=0,$AO$10=0,$AO$12&gt;$R38,($T38&lt;$AU$6)),0,$T38*$AO$11)</f>
        <v>0</v>
      </c>
      <c r="AS38" s="10">
        <f t="shared" ref="AS38:AS49" si="27">IF(OR($H$18=0,$T38=0,$AP$12&gt;$R38),0,$T38*$AP$11)</f>
        <v>0</v>
      </c>
      <c r="AT38" s="10">
        <f t="shared" ref="AT38:AT49" si="28">IF(OR($H$18=0,$T38=0),0,IF(AND($AQ$7&lt;$AQ$6,$AQ$10=0,$AQ$9&lt;$R38),($T38-$AU$6)*$AQ$8,IF($AQ$12&lt;$R38,(($T38-$AU$6)*$AQ$8)+($T38-$AU$6)*$AQ$11,0)))</f>
        <v>0</v>
      </c>
      <c r="AU38" s="10">
        <f>IF($AQ$9&lt;=$R$38,AQ$7+$AQ$10-$AT38,0)</f>
        <v>0</v>
      </c>
      <c r="AV38" s="10">
        <f t="shared" ref="AV38:AV49" si="29">IF($T38=0,0,$T38-$AC38-$AL38-$AO38+$AP38-$AQ38-AR38-AS38-AT38)</f>
        <v>0</v>
      </c>
      <c r="AW38" s="2">
        <f t="shared" ref="AW38:AW49" si="30">IF(OR($T38=0,$AD38=0,ISERROR(INDEX($AT$5:$AT$7,MATCH(YEAR($R38),$AS$5:$AS$7,0),1))=TRUE),0,ROUND(ROUND(($T38-$X38-$Y38-$Z38-$AB38-IF(ROUND(($T38-$X38-$Y38-$Z38-$AB38)*25%,0)&lt;=ROUND(ROUND($T38/$H$18,2)*240*INDEX($AT$5:$AT$7,MATCH(YEAR($R38),$AS$5:$AS$7,0),1)-1,-3),ROUND(($T38-$X38-$Y38-$Z38-$AB38)*25%,0),ROUND(ROUND($T38/$H$18,2)*240*INDEX($AT$5:$AT$7,MATCH(YEAR($R38),$AS$5:$AS$7,0),1)-1,-3)))/($T38/($H$18/30))*30,0)/INDEX($AT$5:$AT$7,MATCH(YEAR($R38),$AS$5:$AS$7,0),1),2))</f>
        <v>0</v>
      </c>
      <c r="AX38" s="3">
        <f>IF(AW38=0,0,ROUND(ROUND(IF(AW38&lt;=95,0,IF(AND(AW38&gt;95,AW38&lt;=150),(AW38-95)*19%,IF(AND(AW38&gt;150,AW38&lt;=360),(AW38-150)*28%+10,IF(AND(AW38&gt;360,AW38&lt;=640),(AW38-360)*33%+69,IF(AND(AW38&gt;640,AW38&lt;=945),(AW38-640)*35%+162,IF(AND(AW38&gt;945,AW38&lt;=2300),(AW38-945)*37%+268,(AW38-2300)*39%+770)))))),2)/AW38,4))</f>
        <v>0</v>
      </c>
      <c r="AY38" s="10">
        <f t="shared" ref="AY38:AY49" si="31">IF(AX38=0,0,IF(ROUND(($T38-$X38-$Y38-$Z38-$AB38-IF(ROUND(($T38-$X38-$Y38-$Z38-$AB38)*25%,0)&lt;=ROUND(ROUND(240*INDEX($AT$5:$AT$7,MATCH(YEAR($R38),$AS$5:$AS$7,0),1)-1,-3)/30*ROUND($T38/($H$18/30),0)-1,-3),ROUND(($T38-$X38-$Y38-$Z38-$AB38)*25%,0),ROUND(ROUND(240*INDEX($AT$5:$AT$7,MATCH(YEAR($R38),$AS$5:$AS$7,0),1)-1,-3)/30*ROUND($T38/($H$18/30),0)-1,-3)))*AX38,0)-$AL38&lt;0,0,ROUND(($T38-$X38-$Y38-$Z38-$AB38-IF(ROUND(($T38-$X38-$Y38-$Z38-$AB38)*25%,0)&lt;=ROUND(ROUND(240*INDEX($AT$5:$AT$7,MATCH(YEAR($R38),$AS$5:$AS$7,0),1)-1,-3)/30*ROUND($T38/($H$18/30),0)-1,-3),ROUND(($T38-$X38-$Y38-$Z38-$AB38)*25%,0),ROUND(ROUND(240*INDEX($AT$5:$AT$7,MATCH(YEAR($R38),$AS$5:$AS$7,0),1)-1,-3)/30*ROUND($T38/($H$18/30),0)-1,-3)))*AX38,0)-$AL38))</f>
        <v>0</v>
      </c>
      <c r="AZ38" s="19"/>
      <c r="BA38" s="19"/>
      <c r="BB38" s="19"/>
      <c r="BC38" s="19"/>
      <c r="BD38" s="10">
        <f t="shared" ref="BD38:BD49" si="32">SUM(BA38:BC38)</f>
        <v>0</v>
      </c>
      <c r="BE38" s="3">
        <f t="shared" ref="BE38:BE49" si="33">IF(OR($AZ38=0,BA38=0),0,ROUND(BA38/$AZ38,4))</f>
        <v>0</v>
      </c>
      <c r="BF38" s="3">
        <f t="shared" ref="BF38:BF49" si="34">IF(OR($AZ38=0,BB38=0),0,ROUND(BB38/$AZ38,4))</f>
        <v>0</v>
      </c>
      <c r="BG38" s="4">
        <f t="shared" ref="BG38:BG49" si="35">IF(OR($AZ38=0,BC38=0),0,ROUND(BC38/$AZ38,5))</f>
        <v>0</v>
      </c>
      <c r="BH38" s="68"/>
      <c r="BI38" s="115"/>
      <c r="BJ38" s="115"/>
      <c r="BK38" s="122"/>
      <c r="BL38" s="115"/>
      <c r="BM38" s="115"/>
      <c r="BN38" s="122"/>
      <c r="BO38" s="115"/>
      <c r="BP38" s="115"/>
      <c r="BQ38" s="122"/>
      <c r="BR38" s="115"/>
      <c r="BT38" s="90" t="s">
        <v>108</v>
      </c>
      <c r="BU38" s="91" t="s">
        <v>163</v>
      </c>
      <c r="BV38" s="112"/>
      <c r="BW38" s="113"/>
    </row>
    <row r="39" spans="1:75" ht="12.75" customHeight="1" x14ac:dyDescent="0.2">
      <c r="A39" s="48">
        <v>2</v>
      </c>
      <c r="B39" s="13">
        <f t="shared" ref="B39:B49" si="36">EOMONTH(B38,1)</f>
        <v>46081</v>
      </c>
      <c r="C39" s="98">
        <f>IF(OR($H$19=0,$H$20=0),0,IF(AND($H$19&gt;=EOMONTH($B39,-1)+1,$H$20&lt;=$B39),$H$25,IF(AND(EOMONTH($B39,-1)+1&gt;EOMONTH($H$19,0),$B39&lt;=EOMONTH($H$20,-1)),30-IF(OR($H$21=0,$H$22=0),0,IF(AND($B39=EOMONTH($H$21,0),$H$22&gt;$B39,$B39&gt;EOMONTH($H$19,0)),DAYS360($H$21,EOMONTH($H$21,0)+1),IF(AND($B39=EOMONTH($H$22,0),$B39&lt;$H$20,$H$21&lt;EOMONTH($B39,-1)+1),DAYS360(EOMONTH($H$22,-1)+1,$H$22+1),IF(AND(EOMONTH($B39,-1)+1&gt;EOMONTH($H$21,0),$B39&lt;=EOMONTH($H$22,-1)),30,IF(AND($B39=EOMONTH($H$21,0),$B39=EOMONTH($H$22,0)),$H$24,0))))),IF(AND($B39=EOMONTH($H$19,0),$B39&lt;$H$20),EOMONTH($H$19,0)-$H$19+IF(AND(MONTH($H$19)=2, DAY($H$19)=1,DAY(EOMONTH($H$19,0))=28),3,IF(AND(MONTH($H$19)=2, DAY($H$19)=1,DAY(EOMONTH($H$19,0))=29),2,IF(AND(DAY(EOMONTH($H$19,0))=31,DAY($H$19)=1),0,1)))-IF(AND($B39=EOMONTH($H$21,0),$H$22&gt;$B39,$H$20&gt;$B39),DAYS360($H$21,EOMONTH($H$21,0)+1),IF(AND($B39=EOMONTH($H$21,0),$B39=EOMONTH($H$22,0)),$H$24,0)),IF(AND($B39=EOMONTH($H$20,0)),$H$25-SUM($C$37:$C38),0)))))</f>
        <v>0</v>
      </c>
      <c r="D39" s="134"/>
      <c r="E39" s="144">
        <f>ROUND(IF(OR($H$19=0,$H$20=0),0,IF(AND($B39=EOMONTH($H$20,0)),$H$27-SUM($E$37:$E38),IF($C39=30,$H$18,IF($C39=31,$H$18+$H$26,$H$26*$C39)))),0)</f>
        <v>0</v>
      </c>
      <c r="F39" s="108">
        <f t="shared" si="1"/>
        <v>0</v>
      </c>
      <c r="G39" s="71">
        <f t="shared" ref="G39:G49" si="37">IF($E39=0,0,$F39/IF(MONTH($B39)=1,INDEX($AU$5:$AU$7,MATCH(YEAR($B39)-1,$AS$5:$AS$7,0),1),INDEX($AU$5:$AU$7,MATCH(YEAR($B39),$AS$5:$AS$7,0),1)))</f>
        <v>0</v>
      </c>
      <c r="H39" s="109">
        <f t="shared" si="2"/>
        <v>0</v>
      </c>
      <c r="I39" s="3">
        <f t="shared" si="3"/>
        <v>0</v>
      </c>
      <c r="J39" s="109">
        <f t="shared" si="4"/>
        <v>0</v>
      </c>
      <c r="K39" s="120"/>
      <c r="L39" s="109">
        <f t="shared" si="5"/>
        <v>0</v>
      </c>
      <c r="M39" s="10">
        <f t="shared" si="6"/>
        <v>0</v>
      </c>
      <c r="N39" s="133"/>
      <c r="O39" s="133"/>
      <c r="P39" s="18"/>
      <c r="Q39" s="31"/>
      <c r="R39" s="61"/>
      <c r="S39" s="1" t="str">
        <f>IF(OR($R39&lt;&gt;0,$T39&lt;&gt;0),1+MAX(S$37:S38),"")</f>
        <v/>
      </c>
      <c r="T39" s="115"/>
      <c r="U39" s="11">
        <f t="shared" si="7"/>
        <v>0</v>
      </c>
      <c r="V39" s="11">
        <f t="shared" si="8"/>
        <v>0</v>
      </c>
      <c r="W39" s="11">
        <f t="shared" si="9"/>
        <v>0</v>
      </c>
      <c r="X39" s="10">
        <f t="shared" si="10"/>
        <v>0</v>
      </c>
      <c r="Y39" s="10">
        <f>IF(OR($H$18=0,$T39=0),0,IF(IF(AND(AB$8&lt;=$R39,$R39&lt;=DATE($Y$6+1,4,15)),IF(SUM(Y$37:Y38)+IF(AND(AB$7-ROUND(SUM($T$37:$T38)/$H$26,0)&gt;0,AB$7-ROUND(SUM($T$37:$T38)/$H$26,0)&lt;=ROUND($T39/$H$26,0)),ROUND((AB$7-ROUND(SUM($T$37:$T38)/$H$26,0))*AB$9/30,0),IF(AB$7-ROUND(SUM($T$37:$T38)/$H$26,0)&gt;ROUND($T39/$H$26,0),ROUND(AB$9/30*ROUND($T39/$H$26,0),0)))&lt;=AB$10+IF(AND($R39&gt;=AB$15,AB$15&gt;0),AB$18,0),IF(AND(AB$7-ROUND(SUM($T$37:$T38)/$H$26,0)&gt;0,AB$7-ROUND(SUM($T$37:$T38)/$H$26,0)&lt;=ROUND($T39/$H$26,0)),ROUND((AB$7-ROUND(SUM($T$37:$T38)/$H$26,0))*AB$9/30,0),IF(AB$7-ROUND(SUM($T$37:$T38)/$H$26,0)&gt;ROUND($T39/$H$26,0),ROUND(AB$9/30*ROUND($T39/$H$26,0),0))), AB$10+ IF(AND($R39&gt;=AB$15,AB$15&gt;0),AB$18,0)-SUM(Y$37:Y38)),0)+IF(OR(AND($R39&lt;=DATE($Y$6+1,4,15),AB$15&lt;=DATE($Y$6+1,4,15),AB$15&gt;0,AB$7-ROUND(SUM($T$37:$T38)/$H$26,0)&gt;=ROUND($T39/$H$26,0)), AB$15&gt;$R39),0,IF(AND($R39&lt;=DATE($Y$6+1,4,15),AB$15&lt;=DATE($Y$6+1,4,15),AB$15&gt;0,AB$7-ROUND(SUM($T$37:$T38)/$H$26,0)&gt;0,AB$7-ROUND(SUM($T$37:$T38)/$H$26,0)&lt;ROUND($T39/$H$26,0)),(ROUND($T39/$H$26,0)-(AB$7-ROUND(SUM($T$37:$T38)/$H$26,0)))*ROUND(AB$16/30,0),IF(AND($R39&gt;=AB$15,AB$15&gt;0,$R39&lt;=DATE($Y$12+1,4,15)),IF(SUM(Y$37:Y38)+ROUND(IF(YEAR($R39)=$Y$12,AB$16,IF(YEAR($R39)=$Y$12+1,AB$17,0))/30*ROUND($T39/$H$26,0),0)&lt;=AB$10+IF(AND($R39&gt;=AB$15,AB$15&gt;0),AB$18,0),ROUND(IF(YEAR($R39)=$Y$12,AB$16,IF(YEAR($R39)=$Y$12+1,AB$17,0))/30*ROUND($T39/$H$26,0),0),AB$10+AB$18-SUM(Y$37:Y38)),0)))&gt;ROUND(ROUND(100*INDEX($AT$5:$AT$7,MATCH(YEAR($R39),$AS$5:$AS$7,0),1)-1,-3)/30*ROUND($T39/$H$26,0),0),ROUND(ROUND(100*INDEX($AT$5:$AT$7,MATCH(YEAR($R39),$AS$5:$AS$7,0),1)-1,-3)/30*ROUND($T39/$H$26,0),0), IF(AND(AB$8&lt;=$R39,$R39&lt;=DATE($Y$6+1,4,15)),IF(SUM(Y$37:Y38)+IF(AND(AB$7-ROUND(SUM($T$37:$T38)/$H$26,0)&gt;0,AB$7-ROUND(SUM($T$37:$T38)/$H$26,0)&lt;=ROUND($T39/$H$26,0)),ROUND((AB$7-ROUND(SUM($T$37:$T38)/$H$26,0))*AB$9/30,0),IF(AB$7-ROUND(SUM($T$37:$T38)/$H$26,0)&gt;ROUND($T39/$H$26,0),ROUND(AB$9/30*ROUND($T39/$H$26,0),0)))&lt;=AB$10+IF(AND($R39&gt;=AB$15,AB$15&gt;0),AB$18,0),IF(AND(AB$7-ROUND(SUM($T$37:$T38)/$H$26,0)&gt;0,AB$7-ROUND(SUM($T$37:$T38)/$H$26,0)&lt;=ROUND($T39/$H$26,0)),ROUND((AB$7-ROUND(SUM($T$37:$T38)/$H$26,0))*AB$9/30,0),IF(AB$7-ROUND(SUM($T$37:$T38)/$H$26,0)&gt;ROUND($T39/$H$26,0),ROUND(AB$9/30*ROUND($T39/$H$26,0),0))), AB$10+ IF(AND($R39&gt;=AB$15,AB$15&gt;0),AB$18,0)-SUM(Y$37:Y38)),0)+IF(OR(AND($R39&lt;=DATE($Y$6+1,4,15),AB$15&lt;=DATE($Y$6+1,4,15),AB$15&gt;0,AB$7-ROUND(SUM($T$37:$T38)/$H$26,0)&gt;=ROUND($T39/$H$26,0)), AB$15&gt;$R39),0,IF(AND($R39&lt;=DATE($Y$6+1,4,15),AB$15&lt;=DATE($Y$6+1,4,15),AB$15&gt;0,AB$7-ROUND(SUM($T$37:$T38)/$H$26,0)&gt;0,AB$7-ROUND(SUM($T$37:$T38)/$H$26,0)&lt;ROUND($T39/$H$26,0)),(ROUND($T39/$H$26,0)-(AB$7-ROUND(SUM($T$37:$T38)/$H$26,0)))*ROUND(AB$16/30,0),IF(AND($R39&gt;=AB$15,AB$15&gt;0,$R39&lt;=DATE($Y$12+1,4,15)),IF(SUM(Y$37:Y38)+ROUND(IF(YEAR($R39)=$Y$12,AB$16,IF(YEAR($R39)=$Y$12+1,AB$17,0))/30*ROUND($T39/$H$26,0),0)&lt;=AB$10+IF(AND($R39&gt;=AB$15,AB$15&gt;0),AB$18,0),ROUND(IF(YEAR($R39)=$Y$12,AB$16,IF(YEAR($R39)=$Y$12+1,AB$17,0))/30*ROUND($T39/$H$26,0),0),AB$10+AB$18-SUM(Y$37:Y38)),0)))))</f>
        <v>0</v>
      </c>
      <c r="Z39" s="10">
        <f>IF(OR($H$18=0,$T39=0),0,IF(IF(AND(AC$8&lt;=$R39,$R39&lt;=DATE($Y$6+1,4,15)),IF(SUM(Z$37:Z38)+IF(AND(AC$7-ROUND(SUM($T$37:$T38)/$H$26,0)&gt;0,AC$7-ROUND(SUM($T$37:$T38)/$H$26,0)&lt;=ROUND($T39/$H$26,0)),ROUND((AC$7-ROUND(SUM($T$37:$T38)/$H$26,0))*AC$9/30,0),IF(AC$7-ROUND(SUM($T$37:$T38)/$H$26,0)&gt;ROUND($T39/$H$26,0),ROUND(AC$9/30*ROUND($T39/$H$26,0),0)))&lt;=AC$10+IF(AND($R39&gt;=AC$15,AC$15&gt;0),AC$18,0),IF(AND(AC$7-ROUND(SUM($T$37:$T38)/$H$26,0)&gt;0,AC$7-ROUND(SUM($T$37:$T38)/$H$26,0)&lt;=ROUND($T39/$H$26,0)),ROUND((AC$7-ROUND(SUM($T$37:$T38)/$H$26,0))*AC$9/30,0),IF(AC$7-ROUND(SUM($T$37:$T38)/$H$26,0)&gt;ROUND($T39/$H$26,0),ROUND(AC$9/30*ROUND($T39/$H$26,0),0))), AC$10+ IF(AND($R39&gt;=AC$15,AC$15&gt;0),AC$18,0)-SUM(Z$37:Z38)),0)+IF(OR(AND($R39&lt;=DATE($Y$6+1,4,15),AC$15&lt;=DATE($Y$6+1,4,15),AC$15&gt;0,AC$7-ROUND(SUM($T$37:$T38)/$H$26,0)&gt;=ROUND($T39/$H$26,0)), AC$15&gt;$R39),0,IF(AND($R39&lt;=DATE($Y$6+1,4,15),AC$15&lt;=DATE($Y$6+1,4,15),AC$15&gt;0,AC$7-ROUND(SUM($T$37:$T38)/$H$26,0)&gt;0,AC$7-ROUND(SUM($T$37:$T38)/$H$26,0)&lt;ROUND($T39/$H$26,0)),(ROUND($T39/$H$26,0)-(AC$7-ROUND(SUM($T$37:$T38)/$H$26,0)))*ROUND(AC$16/30,0),IF(AND($R39&gt;=AC$15,AC$15&gt;0,$R39&lt;=DATE($Y$12+1,4,15)),IF(SUM(Z$37:Z38)+ROUND(IF(YEAR($R39)=$Y$12,AC$16,IF(YEAR($R39)=$Y$12+1,AC$17,0))/30*ROUND($T39/$H$26,0),0)&lt;=AC$10+IF(AND($R39&gt;=AC$15,AC$15&gt;0),AC$18,0),ROUND(IF(YEAR($R39)=$Y$12,AC$16,IF(YEAR($R39)=$Y$12+1,AC$17,0))/30*ROUND($T39/$H$26,0),0),AC$10+AC$18-SUM(Z$37:Z38)),0)))&gt;ROUND(ROUND(16*INDEX($AT$5:$AT$7,MATCH(YEAR($R39),$AS$5:$AS$7,0),1)-1,-3)/30*ROUND($T39/$H$26,0),0),ROUND(ROUND(16*INDEX($AT$5:$AT$7,MATCH(YEAR($R39),$AS$5:$AS$7,0),1)-1,-3)/30*ROUND($T39/$H$26,0),0), IF(AND(AC$8&lt;=$R39,$R39&lt;=DATE($Y$6+1,4,15)),IF(SUM(Z$37:Z38)+IF(AND(AC$7-ROUND(SUM($T$37:$T38)/$H$26,0)&gt;0,AC$7-ROUND(SUM($T$37:$T38)/$H$26,0)&lt;=ROUND($T39/$H$26,0)),ROUND((AC$7-ROUND(SUM($T$37:$T38)/$H$26,0))*AC$9/30,0),IF(AC$7-ROUND(SUM($T$37:$T38)/$H$26,0)&gt;ROUND($T39/$H$26,0),ROUND(AC$9/30*ROUND($T39/$H$26,0),0)))&lt;=AC$10+IF(AND($R39&gt;=AC$15,AC$15&gt;0),AC$18,0),IF(AND(AC$7-ROUND(SUM($T$37:$T38)/$H$26,0)&gt;0,AC$7-ROUND(SUM($T$37:$T38)/$H$26,0)&lt;=ROUND($T39/$H$26,0)),ROUND((AC$7-ROUND(SUM($T$37:$T38)/$H$26,0))*AC$9/30,0),IF(AC$7-ROUND(SUM($T$37:$T38)/$H$26,0)&gt;ROUND($T39/$H$26,0),ROUND(AC$9/30*ROUND($T39/$H$26,0),0))), AC$10+ IF(AND($R39&gt;=AC$15,AC$15&gt;0),AC$18,0)-SUM(Z$37:Z38)),0)+IF(OR(AND($R39&lt;=DATE($Y$6+1,4,15),AC$15&lt;=DATE($Y$6+1,4,15),AC$15&gt;0,AC$7-ROUND(SUM($T$37:$T38)/$H$26,0)&gt;=ROUND($T39/$H$26,0)), AC$15&gt;$R39),0,IF(AND($R39&lt;=DATE($Y$6+1,4,15),AC$15&lt;=DATE($Y$6+1,4,15),AC$15&gt;0,AC$7-ROUND(SUM($T$37:$T38)/$H$26,0)&gt;0,AC$7-ROUND(SUM($T$37:$T38)/$H$26,0)&lt;ROUND($T39/$H$26,0)),(ROUND($T39/$H$26,0)-(AC$7-ROUND(SUM($T$37:$T38)/$H$26,0)))*ROUND(AC$16/30,0),IF(AND($R39&gt;=AC$15,AC$15&gt;0,$R39&lt;=DATE($Y$12+1,4,15)),IF(SUM(Z$37:Z38)+ROUND(IF(YEAR($R39)=$Y$12,AC$16,IF(YEAR($R39)=$Y$12+1,AC$17,0))/30*ROUND($T39/$H$26,0),0)&lt;=AC$10+IF(AND($R39&gt;=AC$15,AC$15&gt;0),AC$18,0),ROUND(IF(YEAR($R39)=$Y$12,AC$16,IF(YEAR($R39)=$Y$12+1,AC$17,0))/30*ROUND($T39/$H$26,0),0),AC$10+AC$18-SUM(Z$37:Z38)),0)))))</f>
        <v>0</v>
      </c>
      <c r="AA39" s="97" t="str">
        <f t="shared" si="11"/>
        <v>No</v>
      </c>
      <c r="AB39" s="10">
        <f t="shared" si="12"/>
        <v>0</v>
      </c>
      <c r="AC39" s="19"/>
      <c r="AD39" s="10">
        <f t="shared" si="13"/>
        <v>0</v>
      </c>
      <c r="AE39" s="10">
        <f t="shared" si="14"/>
        <v>0</v>
      </c>
      <c r="AF39" s="10">
        <f t="shared" si="15"/>
        <v>0</v>
      </c>
      <c r="AG39" s="10">
        <f t="shared" si="16"/>
        <v>0</v>
      </c>
      <c r="AH39" s="10">
        <f t="shared" si="17"/>
        <v>0</v>
      </c>
      <c r="AI39" s="10">
        <f t="shared" si="18"/>
        <v>0</v>
      </c>
      <c r="AJ39" s="2">
        <f t="shared" si="19"/>
        <v>0</v>
      </c>
      <c r="AK39" s="3">
        <f t="shared" si="20"/>
        <v>0</v>
      </c>
      <c r="AL39" s="10">
        <f t="shared" si="21"/>
        <v>0</v>
      </c>
      <c r="AM39" s="10">
        <f t="shared" si="22"/>
        <v>0</v>
      </c>
      <c r="AN39" s="20"/>
      <c r="AO39" s="10">
        <f t="shared" si="23"/>
        <v>0</v>
      </c>
      <c r="AP39" s="11">
        <f t="shared" si="24"/>
        <v>0</v>
      </c>
      <c r="AQ39" s="10">
        <f t="shared" si="25"/>
        <v>0</v>
      </c>
      <c r="AR39" s="10">
        <f t="shared" si="26"/>
        <v>0</v>
      </c>
      <c r="AS39" s="10">
        <f t="shared" si="27"/>
        <v>0</v>
      </c>
      <c r="AT39" s="10">
        <f t="shared" si="28"/>
        <v>0</v>
      </c>
      <c r="AU39" s="10">
        <f t="shared" ref="AU39:AU49" si="38">IF($AQ$12&lt;=$R$39,AU38-$AT39,0)</f>
        <v>0</v>
      </c>
      <c r="AV39" s="10">
        <f t="shared" si="29"/>
        <v>0</v>
      </c>
      <c r="AW39" s="2">
        <f t="shared" si="30"/>
        <v>0</v>
      </c>
      <c r="AX39" s="3">
        <f t="shared" ref="AX39:AX49" si="39">IF(AW39=0,0,ROUND(ROUND(IF(AW39&lt;=95,0,IF(AND(AW39&gt;95,AW39&lt;=150),(AW39-95)*19%,IF(AND(AW39&gt;150,AW39&lt;=360),(AW39-150)*28%+10,IF(AND(AW39&gt;360,AW39&lt;=640),(AW39-360)*33%+69,IF(AND(AW39&gt;640,AW39&lt;=945),(AW39-640)*35%+162,IF(AND(AW39&gt;945,AW39&lt;=2300),(AW39-945)*37%+268,(AW39-2300)*39%+770)))))),2)/AW39,4))</f>
        <v>0</v>
      </c>
      <c r="AY39" s="10">
        <f t="shared" si="31"/>
        <v>0</v>
      </c>
      <c r="AZ39" s="19"/>
      <c r="BA39" s="19"/>
      <c r="BB39" s="19"/>
      <c r="BC39" s="19"/>
      <c r="BD39" s="10">
        <f t="shared" si="32"/>
        <v>0</v>
      </c>
      <c r="BE39" s="3">
        <f t="shared" si="33"/>
        <v>0</v>
      </c>
      <c r="BF39" s="3">
        <f t="shared" si="34"/>
        <v>0</v>
      </c>
      <c r="BG39" s="4">
        <f t="shared" si="35"/>
        <v>0</v>
      </c>
      <c r="BH39" s="68"/>
      <c r="BI39" s="115"/>
      <c r="BJ39" s="115"/>
      <c r="BK39" s="122"/>
      <c r="BL39" s="115"/>
      <c r="BM39" s="115"/>
      <c r="BN39" s="122"/>
      <c r="BO39" s="115"/>
      <c r="BP39" s="115"/>
      <c r="BQ39" s="122"/>
      <c r="BR39" s="115"/>
      <c r="BT39" s="90" t="s">
        <v>108</v>
      </c>
      <c r="BU39" s="91" t="s">
        <v>164</v>
      </c>
      <c r="BV39" s="112"/>
      <c r="BW39" s="113"/>
    </row>
    <row r="40" spans="1:75" ht="12.75" customHeight="1" x14ac:dyDescent="0.2">
      <c r="A40" s="48">
        <v>3</v>
      </c>
      <c r="B40" s="13">
        <f t="shared" si="36"/>
        <v>46112</v>
      </c>
      <c r="C40" s="98">
        <f>IF(OR($H$19=0,$H$20=0),0,IF(AND($H$19&gt;=EOMONTH($B40,-1)+1,$H$20&lt;=$B40),$H$25,IF(AND(EOMONTH($B40,-1)+1&gt;EOMONTH($H$19,0),$B40&lt;=EOMONTH($H$20,-1)),30-IF(OR($H$21=0,$H$22=0),0,IF(AND($B40=EOMONTH($H$21,0),$H$22&gt;$B40,$B40&gt;EOMONTH($H$19,0)),DAYS360($H$21,EOMONTH($H$21,0)+1),IF(AND($B40=EOMONTH($H$22,0),$B40&lt;$H$20,$H$21&lt;EOMONTH($B40,-1)+1),DAYS360(EOMONTH($H$22,-1)+1,$H$22+1),IF(AND(EOMONTH($B40,-1)+1&gt;EOMONTH($H$21,0),$B40&lt;=EOMONTH($H$22,-1)),30,IF(AND($B40=EOMONTH($H$21,0),$B40=EOMONTH($H$22,0)),$H$24,0))))),IF(AND($B40=EOMONTH($H$19,0),$B40&lt;$H$20),EOMONTH($H$19,0)-$H$19+IF(AND(MONTH($H$19)=2, DAY($H$19)=1,DAY(EOMONTH($H$19,0))=28),3,IF(AND(MONTH($H$19)=2, DAY($H$19)=1,DAY(EOMONTH($H$19,0))=29),2,IF(AND(DAY(EOMONTH($H$19,0))=31,DAY($H$19)=1),0,1)))-IF(AND($B40=EOMONTH($H$21,0),$H$22&gt;$B40,$H$20&gt;$B40),DAYS360($H$21,EOMONTH($H$21,0)+1),IF(AND($B40=EOMONTH($H$21,0),$B40=EOMONTH($H$22,0)),$H$24,0)),IF(AND($B40=EOMONTH($H$20,0)),$H$25-SUM($C$37:$C39),0)))))</f>
        <v>0</v>
      </c>
      <c r="D40" s="134"/>
      <c r="E40" s="144">
        <f>ROUND(IF(OR($H$19=0,$H$20=0),0,IF(AND($B40=EOMONTH($H$20,0)),$H$27-SUM($E$37:$E39),IF($C40=30,$H$18,IF($C40=31,$H$18+$H$26,$H$26*$C40)))),0)</f>
        <v>0</v>
      </c>
      <c r="F40" s="108">
        <f t="shared" si="1"/>
        <v>0</v>
      </c>
      <c r="G40" s="71">
        <f t="shared" si="37"/>
        <v>0</v>
      </c>
      <c r="H40" s="109">
        <f t="shared" si="2"/>
        <v>0</v>
      </c>
      <c r="I40" s="3">
        <f t="shared" si="3"/>
        <v>0</v>
      </c>
      <c r="J40" s="109">
        <f t="shared" si="4"/>
        <v>0</v>
      </c>
      <c r="K40" s="120"/>
      <c r="L40" s="109">
        <f t="shared" si="5"/>
        <v>0</v>
      </c>
      <c r="M40" s="10">
        <f t="shared" si="6"/>
        <v>0</v>
      </c>
      <c r="N40" s="133"/>
      <c r="O40" s="133"/>
      <c r="P40" s="18"/>
      <c r="Q40" s="31"/>
      <c r="R40" s="61"/>
      <c r="S40" s="1" t="str">
        <f>IF(OR($R40&lt;&gt;0,$T40&lt;&gt;0),1+MAX(S$37:S39),"")</f>
        <v/>
      </c>
      <c r="T40" s="115"/>
      <c r="U40" s="11">
        <f t="shared" si="7"/>
        <v>0</v>
      </c>
      <c r="V40" s="11">
        <f t="shared" si="8"/>
        <v>0</v>
      </c>
      <c r="W40" s="11">
        <f t="shared" si="9"/>
        <v>0</v>
      </c>
      <c r="X40" s="10">
        <f t="shared" si="10"/>
        <v>0</v>
      </c>
      <c r="Y40" s="10">
        <f>IF(OR($H$18=0,$T40=0),0,IF(IF(AND(AB$8&lt;=$R40,$R40&lt;=DATE($Y$6+1,4,15)),IF(SUM(Y$37:Y39)+IF(AND(AB$7-ROUND(SUM($T$37:$T39)/$H$26,0)&gt;0,AB$7-ROUND(SUM($T$37:$T39)/$H$26,0)&lt;=ROUND($T40/$H$26,0)),ROUND((AB$7-ROUND(SUM($T$37:$T39)/$H$26,0))*AB$9/30,0),IF(AB$7-ROUND(SUM($T$37:$T39)/$H$26,0)&gt;ROUND($T40/$H$26,0),ROUND(AB$9/30*ROUND($T40/$H$26,0),0)))&lt;=AB$10+IF(AND($R40&gt;=AB$15,AB$15&gt;0),AB$18,0),IF(AND(AB$7-ROUND(SUM($T$37:$T39)/$H$26,0)&gt;0,AB$7-ROUND(SUM($T$37:$T39)/$H$26,0)&lt;=ROUND($T40/$H$26,0)),ROUND((AB$7-ROUND(SUM($T$37:$T39)/$H$26,0))*AB$9/30,0),IF(AB$7-ROUND(SUM($T$37:$T39)/$H$26,0)&gt;ROUND($T40/$H$26,0),ROUND(AB$9/30*ROUND($T40/$H$26,0),0))), AB$10+ IF(AND($R40&gt;=AB$15,AB$15&gt;0),AB$18,0)-SUM(Y$37:Y39)),0)+IF(OR(AND($R40&lt;=DATE($Y$6+1,4,15),AB$15&lt;=DATE($Y$6+1,4,15),AB$15&gt;0,AB$7-ROUND(SUM($T$37:$T39)/$H$26,0)&gt;=ROUND($T40/$H$26,0)), AB$15&gt;$R40),0,IF(AND($R40&lt;=DATE($Y$6+1,4,15),AB$15&lt;=DATE($Y$6+1,4,15),AB$15&gt;0,AB$7-ROUND(SUM($T$37:$T39)/$H$26,0)&gt;0,AB$7-ROUND(SUM($T$37:$T39)/$H$26,0)&lt;ROUND($T40/$H$26,0)),(ROUND($T40/$H$26,0)-(AB$7-ROUND(SUM($T$37:$T39)/$H$26,0)))*ROUND(AB$16/30,0),IF(AND($R40&gt;=AB$15,AB$15&gt;0,$R40&lt;=DATE($Y$12+1,4,15)),IF(SUM(Y$37:Y39)+ROUND(IF(YEAR($R40)=$Y$12,AB$16,IF(YEAR($R40)=$Y$12+1,AB$17,0))/30*ROUND($T40/$H$26,0),0)&lt;=AB$10+IF(AND($R40&gt;=AB$15,AB$15&gt;0),AB$18,0),ROUND(IF(YEAR($R40)=$Y$12,AB$16,IF(YEAR($R40)=$Y$12+1,AB$17,0))/30*ROUND($T40/$H$26,0),0),AB$10+AB$18-SUM(Y$37:Y39)),0)))&gt;ROUND(ROUND(100*INDEX($AT$5:$AT$7,MATCH(YEAR($R40),$AS$5:$AS$7,0),1)-1,-3)/30*ROUND($T40/$H$26,0),0),ROUND(ROUND(100*INDEX($AT$5:$AT$7,MATCH(YEAR($R40),$AS$5:$AS$7,0),1)-1,-3)/30*ROUND($T40/$H$26,0),0), IF(AND(AB$8&lt;=$R40,$R40&lt;=DATE($Y$6+1,4,15)),IF(SUM(Y$37:Y39)+IF(AND(AB$7-ROUND(SUM($T$37:$T39)/$H$26,0)&gt;0,AB$7-ROUND(SUM($T$37:$T39)/$H$26,0)&lt;=ROUND($T40/$H$26,0)),ROUND((AB$7-ROUND(SUM($T$37:$T39)/$H$26,0))*AB$9/30,0),IF(AB$7-ROUND(SUM($T$37:$T39)/$H$26,0)&gt;ROUND($T40/$H$26,0),ROUND(AB$9/30*ROUND($T40/$H$26,0),0)))&lt;=AB$10+IF(AND($R40&gt;=AB$15,AB$15&gt;0),AB$18,0),IF(AND(AB$7-ROUND(SUM($T$37:$T39)/$H$26,0)&gt;0,AB$7-ROUND(SUM($T$37:$T39)/$H$26,0)&lt;=ROUND($T40/$H$26,0)),ROUND((AB$7-ROUND(SUM($T$37:$T39)/$H$26,0))*AB$9/30,0),IF(AB$7-ROUND(SUM($T$37:$T39)/$H$26,0)&gt;ROUND($T40/$H$26,0),ROUND(AB$9/30*ROUND($T40/$H$26,0),0))), AB$10+ IF(AND($R40&gt;=AB$15,AB$15&gt;0),AB$18,0)-SUM(Y$37:Y39)),0)+IF(OR(AND($R40&lt;=DATE($Y$6+1,4,15),AB$15&lt;=DATE($Y$6+1,4,15),AB$15&gt;0,AB$7-ROUND(SUM($T$37:$T39)/$H$26,0)&gt;=ROUND($T40/$H$26,0)), AB$15&gt;$R40),0,IF(AND($R40&lt;=DATE($Y$6+1,4,15),AB$15&lt;=DATE($Y$6+1,4,15),AB$15&gt;0,AB$7-ROUND(SUM($T$37:$T39)/$H$26,0)&gt;0,AB$7-ROUND(SUM($T$37:$T39)/$H$26,0)&lt;ROUND($T40/$H$26,0)),(ROUND($T40/$H$26,0)-(AB$7-ROUND(SUM($T$37:$T39)/$H$26,0)))*ROUND(AB$16/30,0),IF(AND($R40&gt;=AB$15,AB$15&gt;0,$R40&lt;=DATE($Y$12+1,4,15)),IF(SUM(Y$37:Y39)+ROUND(IF(YEAR($R40)=$Y$12,AB$16,IF(YEAR($R40)=$Y$12+1,AB$17,0))/30*ROUND($T40/$H$26,0),0)&lt;=AB$10+IF(AND($R40&gt;=AB$15,AB$15&gt;0),AB$18,0),ROUND(IF(YEAR($R40)=$Y$12,AB$16,IF(YEAR($R40)=$Y$12+1,AB$17,0))/30*ROUND($T40/$H$26,0),0),AB$10+AB$18-SUM(Y$37:Y39)),0)))))</f>
        <v>0</v>
      </c>
      <c r="Z40" s="10">
        <f>IF(OR($H$18=0,$T40=0),0,IF(IF(AND(AC$8&lt;=$R40,$R40&lt;=DATE($Y$6+1,4,15)),IF(SUM(Z$37:Z39)+IF(AND(AC$7-ROUND(SUM($T$37:$T39)/$H$26,0)&gt;0,AC$7-ROUND(SUM($T$37:$T39)/$H$26,0)&lt;=ROUND($T40/$H$26,0)),ROUND((AC$7-ROUND(SUM($T$37:$T39)/$H$26,0))*AC$9/30,0),IF(AC$7-ROUND(SUM($T$37:$T39)/$H$26,0)&gt;ROUND($T40/$H$26,0),ROUND(AC$9/30*ROUND($T40/$H$26,0),0)))&lt;=AC$10+IF(AND($R40&gt;=AC$15,AC$15&gt;0),AC$18,0),IF(AND(AC$7-ROUND(SUM($T$37:$T39)/$H$26,0)&gt;0,AC$7-ROUND(SUM($T$37:$T39)/$H$26,0)&lt;=ROUND($T40/$H$26,0)),ROUND((AC$7-ROUND(SUM($T$37:$T39)/$H$26,0))*AC$9/30,0),IF(AC$7-ROUND(SUM($T$37:$T39)/$H$26,0)&gt;ROUND($T40/$H$26,0),ROUND(AC$9/30*ROUND($T40/$H$26,0),0))), AC$10+ IF(AND($R40&gt;=AC$15,AC$15&gt;0),AC$18,0)-SUM(Z$37:Z39)),0)+IF(OR(AND($R40&lt;=DATE($Y$6+1,4,15),AC$15&lt;=DATE($Y$6+1,4,15),AC$15&gt;0,AC$7-ROUND(SUM($T$37:$T39)/$H$26,0)&gt;=ROUND($T40/$H$26,0)), AC$15&gt;$R40),0,IF(AND($R40&lt;=DATE($Y$6+1,4,15),AC$15&lt;=DATE($Y$6+1,4,15),AC$15&gt;0,AC$7-ROUND(SUM($T$37:$T39)/$H$26,0)&gt;0,AC$7-ROUND(SUM($T$37:$T39)/$H$26,0)&lt;ROUND($T40/$H$26,0)),(ROUND($T40/$H$26,0)-(AC$7-ROUND(SUM($T$37:$T39)/$H$26,0)))*ROUND(AC$16/30,0),IF(AND($R40&gt;=AC$15,AC$15&gt;0,$R40&lt;=DATE($Y$12+1,4,15)),IF(SUM(Z$37:Z39)+ROUND(IF(YEAR($R40)=$Y$12,AC$16,IF(YEAR($R40)=$Y$12+1,AC$17,0))/30*ROUND($T40/$H$26,0),0)&lt;=AC$10+IF(AND($R40&gt;=AC$15,AC$15&gt;0),AC$18,0),ROUND(IF(YEAR($R40)=$Y$12,AC$16,IF(YEAR($R40)=$Y$12+1,AC$17,0))/30*ROUND($T40/$H$26,0),0),AC$10+AC$18-SUM(Z$37:Z39)),0)))&gt;ROUND(ROUND(16*INDEX($AT$5:$AT$7,MATCH(YEAR($R40),$AS$5:$AS$7,0),1)-1,-3)/30*ROUND($T40/$H$26,0),0),ROUND(ROUND(16*INDEX($AT$5:$AT$7,MATCH(YEAR($R40),$AS$5:$AS$7,0),1)-1,-3)/30*ROUND($T40/$H$26,0),0), IF(AND(AC$8&lt;=$R40,$R40&lt;=DATE($Y$6+1,4,15)),IF(SUM(Z$37:Z39)+IF(AND(AC$7-ROUND(SUM($T$37:$T39)/$H$26,0)&gt;0,AC$7-ROUND(SUM($T$37:$T39)/$H$26,0)&lt;=ROUND($T40/$H$26,0)),ROUND((AC$7-ROUND(SUM($T$37:$T39)/$H$26,0))*AC$9/30,0),IF(AC$7-ROUND(SUM($T$37:$T39)/$H$26,0)&gt;ROUND($T40/$H$26,0),ROUND(AC$9/30*ROUND($T40/$H$26,0),0)))&lt;=AC$10+IF(AND($R40&gt;=AC$15,AC$15&gt;0),AC$18,0),IF(AND(AC$7-ROUND(SUM($T$37:$T39)/$H$26,0)&gt;0,AC$7-ROUND(SUM($T$37:$T39)/$H$26,0)&lt;=ROUND($T40/$H$26,0)),ROUND((AC$7-ROUND(SUM($T$37:$T39)/$H$26,0))*AC$9/30,0),IF(AC$7-ROUND(SUM($T$37:$T39)/$H$26,0)&gt;ROUND($T40/$H$26,0),ROUND(AC$9/30*ROUND($T40/$H$26,0),0))), AC$10+ IF(AND($R40&gt;=AC$15,AC$15&gt;0),AC$18,0)-SUM(Z$37:Z39)),0)+IF(OR(AND($R40&lt;=DATE($Y$6+1,4,15),AC$15&lt;=DATE($Y$6+1,4,15),AC$15&gt;0,AC$7-ROUND(SUM($T$37:$T39)/$H$26,0)&gt;=ROUND($T40/$H$26,0)), AC$15&gt;$R40),0,IF(AND($R40&lt;=DATE($Y$6+1,4,15),AC$15&lt;=DATE($Y$6+1,4,15),AC$15&gt;0,AC$7-ROUND(SUM($T$37:$T39)/$H$26,0)&gt;0,AC$7-ROUND(SUM($T$37:$T39)/$H$26,0)&lt;ROUND($T40/$H$26,0)),(ROUND($T40/$H$26,0)-(AC$7-ROUND(SUM($T$37:$T39)/$H$26,0)))*ROUND(AC$16/30,0),IF(AND($R40&gt;=AC$15,AC$15&gt;0,$R40&lt;=DATE($Y$12+1,4,15)),IF(SUM(Z$37:Z39)+ROUND(IF(YEAR($R40)=$Y$12,AC$16,IF(YEAR($R40)=$Y$12+1,AC$17,0))/30*ROUND($T40/$H$26,0),0)&lt;=AC$10+IF(AND($R40&gt;=AC$15,AC$15&gt;0),AC$18,0),ROUND(IF(YEAR($R40)=$Y$12,AC$16,IF(YEAR($R40)=$Y$12+1,AC$17,0))/30*ROUND($T40/$H$26,0),0),AC$10+AC$18-SUM(Z$37:Z39)),0)))))</f>
        <v>0</v>
      </c>
      <c r="AA40" s="97" t="str">
        <f t="shared" si="11"/>
        <v>No</v>
      </c>
      <c r="AB40" s="10">
        <f t="shared" si="12"/>
        <v>0</v>
      </c>
      <c r="AC40" s="19"/>
      <c r="AD40" s="10">
        <f t="shared" si="13"/>
        <v>0</v>
      </c>
      <c r="AE40" s="10">
        <f t="shared" si="14"/>
        <v>0</v>
      </c>
      <c r="AF40" s="10">
        <f t="shared" si="15"/>
        <v>0</v>
      </c>
      <c r="AG40" s="10">
        <f t="shared" si="16"/>
        <v>0</v>
      </c>
      <c r="AH40" s="10">
        <f t="shared" si="17"/>
        <v>0</v>
      </c>
      <c r="AI40" s="10">
        <f t="shared" si="18"/>
        <v>0</v>
      </c>
      <c r="AJ40" s="2">
        <f t="shared" si="19"/>
        <v>0</v>
      </c>
      <c r="AK40" s="3">
        <f t="shared" si="20"/>
        <v>0</v>
      </c>
      <c r="AL40" s="10">
        <f t="shared" si="21"/>
        <v>0</v>
      </c>
      <c r="AM40" s="10">
        <f t="shared" si="22"/>
        <v>0</v>
      </c>
      <c r="AN40" s="20"/>
      <c r="AO40" s="10">
        <f t="shared" si="23"/>
        <v>0</v>
      </c>
      <c r="AP40" s="11">
        <f t="shared" si="24"/>
        <v>0</v>
      </c>
      <c r="AQ40" s="10">
        <f t="shared" si="25"/>
        <v>0</v>
      </c>
      <c r="AR40" s="10">
        <f t="shared" si="26"/>
        <v>0</v>
      </c>
      <c r="AS40" s="10">
        <f t="shared" si="27"/>
        <v>0</v>
      </c>
      <c r="AT40" s="10">
        <f t="shared" si="28"/>
        <v>0</v>
      </c>
      <c r="AU40" s="10">
        <f t="shared" si="38"/>
        <v>0</v>
      </c>
      <c r="AV40" s="10">
        <f t="shared" si="29"/>
        <v>0</v>
      </c>
      <c r="AW40" s="2">
        <f t="shared" si="30"/>
        <v>0</v>
      </c>
      <c r="AX40" s="3">
        <f t="shared" si="39"/>
        <v>0</v>
      </c>
      <c r="AY40" s="10">
        <f t="shared" si="31"/>
        <v>0</v>
      </c>
      <c r="AZ40" s="19"/>
      <c r="BA40" s="19"/>
      <c r="BB40" s="19"/>
      <c r="BC40" s="19"/>
      <c r="BD40" s="10">
        <f t="shared" si="32"/>
        <v>0</v>
      </c>
      <c r="BE40" s="3">
        <f t="shared" si="33"/>
        <v>0</v>
      </c>
      <c r="BF40" s="3">
        <f t="shared" si="34"/>
        <v>0</v>
      </c>
      <c r="BG40" s="4">
        <f t="shared" si="35"/>
        <v>0</v>
      </c>
      <c r="BH40" s="68"/>
      <c r="BI40" s="115"/>
      <c r="BJ40" s="115"/>
      <c r="BK40" s="122"/>
      <c r="BL40" s="115"/>
      <c r="BM40" s="115"/>
      <c r="BN40" s="122"/>
      <c r="BO40" s="115"/>
      <c r="BP40" s="115"/>
      <c r="BQ40" s="122"/>
      <c r="BR40" s="115"/>
      <c r="BT40" s="90" t="s">
        <v>108</v>
      </c>
      <c r="BU40" s="91" t="s">
        <v>165</v>
      </c>
      <c r="BV40" s="112"/>
      <c r="BW40" s="113"/>
    </row>
    <row r="41" spans="1:75" ht="12.75" customHeight="1" x14ac:dyDescent="0.2">
      <c r="A41" s="48">
        <v>4</v>
      </c>
      <c r="B41" s="13">
        <f t="shared" si="36"/>
        <v>46142</v>
      </c>
      <c r="C41" s="98">
        <f>IF(OR($H$19=0,$H$20=0),0,IF(AND($H$19&gt;=EOMONTH($B41,-1)+1,$H$20&lt;=$B41),$H$25,IF(AND(EOMONTH($B41,-1)+1&gt;EOMONTH($H$19,0),$B41&lt;=EOMONTH($H$20,-1)),30-IF(OR($H$21=0,$H$22=0),0,IF(AND($B41=EOMONTH($H$21,0),$H$22&gt;$B41,$B41&gt;EOMONTH($H$19,0)),DAYS360($H$21,EOMONTH($H$21,0)+1),IF(AND($B41=EOMONTH($H$22,0),$B41&lt;$H$20,$H$21&lt;EOMONTH($B41,-1)+1),DAYS360(EOMONTH($H$22,-1)+1,$H$22+1),IF(AND(EOMONTH($B41,-1)+1&gt;EOMONTH($H$21,0),$B41&lt;=EOMONTH($H$22,-1)),30,IF(AND($B41=EOMONTH($H$21,0),$B41=EOMONTH($H$22,0)),$H$24,0))))),IF(AND($B41=EOMONTH($H$19,0),$B41&lt;$H$20),EOMONTH($H$19,0)-$H$19+IF(AND(MONTH($H$19)=2, DAY($H$19)=1,DAY(EOMONTH($H$19,0))=28),3,IF(AND(MONTH($H$19)=2, DAY($H$19)=1,DAY(EOMONTH($H$19,0))=29),2,IF(AND(DAY(EOMONTH($H$19,0))=31,DAY($H$19)=1),0,1)))-IF(AND($B41=EOMONTH($H$21,0),$H$22&gt;$B41,$H$20&gt;$B41),DAYS360($H$21,EOMONTH($H$21,0)+1),IF(AND($B41=EOMONTH($H$21,0),$B41=EOMONTH($H$22,0)),$H$24,0)),IF(AND($B41=EOMONTH($H$20,0)),$H$25-SUM($C$37:$C40),0)))))</f>
        <v>0</v>
      </c>
      <c r="D41" s="134"/>
      <c r="E41" s="144">
        <f>ROUND(IF(OR($H$19=0,$H$20=0),0,IF(AND($B41=EOMONTH($H$20,0)),$H$27-SUM($E$37:$E40),IF($C41=30,$H$18,IF($C41=31,$H$18+$H$26,$H$26*$C41)))),0)</f>
        <v>0</v>
      </c>
      <c r="F41" s="108">
        <f t="shared" si="1"/>
        <v>0</v>
      </c>
      <c r="G41" s="71">
        <f t="shared" si="37"/>
        <v>0</v>
      </c>
      <c r="H41" s="109">
        <f t="shared" si="2"/>
        <v>0</v>
      </c>
      <c r="I41" s="3">
        <f t="shared" si="3"/>
        <v>0</v>
      </c>
      <c r="J41" s="109">
        <f t="shared" si="4"/>
        <v>0</v>
      </c>
      <c r="K41" s="120"/>
      <c r="L41" s="109">
        <f t="shared" si="5"/>
        <v>0</v>
      </c>
      <c r="M41" s="10">
        <f t="shared" si="6"/>
        <v>0</v>
      </c>
      <c r="N41" s="133"/>
      <c r="O41" s="133"/>
      <c r="P41" s="18"/>
      <c r="Q41" s="31"/>
      <c r="R41" s="61"/>
      <c r="S41" s="1" t="str">
        <f>IF(OR($R41&lt;&gt;0,$T41&lt;&gt;0),1+MAX(S$37:S40),"")</f>
        <v/>
      </c>
      <c r="T41" s="115"/>
      <c r="U41" s="11">
        <f t="shared" si="7"/>
        <v>0</v>
      </c>
      <c r="V41" s="11">
        <f t="shared" si="8"/>
        <v>0</v>
      </c>
      <c r="W41" s="11">
        <f t="shared" si="9"/>
        <v>0</v>
      </c>
      <c r="X41" s="10">
        <f t="shared" si="10"/>
        <v>0</v>
      </c>
      <c r="Y41" s="10">
        <f>IF(OR($H$18=0,$T41=0),0,IF(IF(AND(AB$8&lt;=$R41,$R41&lt;=DATE($Y$6+1,4,15)),IF(SUM(Y$37:Y40)+IF(AND(AB$7-ROUND(SUM($T$37:$T40)/$H$26,0)&gt;0,AB$7-ROUND(SUM($T$37:$T40)/$H$26,0)&lt;=ROUND($T41/$H$26,0)),ROUND((AB$7-ROUND(SUM($T$37:$T40)/$H$26,0))*AB$9/30,0),IF(AB$7-ROUND(SUM($T$37:$T40)/$H$26,0)&gt;ROUND($T41/$H$26,0),ROUND(AB$9/30*ROUND($T41/$H$26,0),0)))&lt;=AB$10+IF(AND($R41&gt;=AB$15,AB$15&gt;0),AB$18,0),IF(AND(AB$7-ROUND(SUM($T$37:$T40)/$H$26,0)&gt;0,AB$7-ROUND(SUM($T$37:$T40)/$H$26,0)&lt;=ROUND($T41/$H$26,0)),ROUND((AB$7-ROUND(SUM($T$37:$T40)/$H$26,0))*AB$9/30,0),IF(AB$7-ROUND(SUM($T$37:$T40)/$H$26,0)&gt;ROUND($T41/$H$26,0),ROUND(AB$9/30*ROUND($T41/$H$26,0),0))), AB$10+ IF(AND($R41&gt;=AB$15,AB$15&gt;0),AB$18,0)-SUM(Y$37:Y40)),0)+IF(OR(AND($R41&lt;=DATE($Y$6+1,4,15),AB$15&lt;=DATE($Y$6+1,4,15),AB$15&gt;0,AB$7-ROUND(SUM($T$37:$T40)/$H$26,0)&gt;=ROUND($T41/$H$26,0)), AB$15&gt;$R41),0,IF(AND($R41&lt;=DATE($Y$6+1,4,15),AB$15&lt;=DATE($Y$6+1,4,15),AB$15&gt;0,AB$7-ROUND(SUM($T$37:$T40)/$H$26,0)&gt;0,AB$7-ROUND(SUM($T$37:$T40)/$H$26,0)&lt;ROUND($T41/$H$26,0)),(ROUND($T41/$H$26,0)-(AB$7-ROUND(SUM($T$37:$T40)/$H$26,0)))*ROUND(AB$16/30,0),IF(AND($R41&gt;=AB$15,AB$15&gt;0,$R41&lt;=DATE($Y$12+1,4,15)),IF(SUM(Y$37:Y40)+ROUND(IF(YEAR($R41)=$Y$12,AB$16,IF(YEAR($R41)=$Y$12+1,AB$17,0))/30*ROUND($T41/$H$26,0),0)&lt;=AB$10+IF(AND($R41&gt;=AB$15,AB$15&gt;0),AB$18,0),ROUND(IF(YEAR($R41)=$Y$12,AB$16,IF(YEAR($R41)=$Y$12+1,AB$17,0))/30*ROUND($T41/$H$26,0),0),AB$10+AB$18-SUM(Y$37:Y40)),0)))&gt;ROUND(ROUND(100*INDEX($AT$5:$AT$7,MATCH(YEAR($R41),$AS$5:$AS$7,0),1)-1,-3)/30*ROUND($T41/$H$26,0),0),ROUND(ROUND(100*INDEX($AT$5:$AT$7,MATCH(YEAR($R41),$AS$5:$AS$7,0),1)-1,-3)/30*ROUND($T41/$H$26,0),0), IF(AND(AB$8&lt;=$R41,$R41&lt;=DATE($Y$6+1,4,15)),IF(SUM(Y$37:Y40)+IF(AND(AB$7-ROUND(SUM($T$37:$T40)/$H$26,0)&gt;0,AB$7-ROUND(SUM($T$37:$T40)/$H$26,0)&lt;=ROUND($T41/$H$26,0)),ROUND((AB$7-ROUND(SUM($T$37:$T40)/$H$26,0))*AB$9/30,0),IF(AB$7-ROUND(SUM($T$37:$T40)/$H$26,0)&gt;ROUND($T41/$H$26,0),ROUND(AB$9/30*ROUND($T41/$H$26,0),0)))&lt;=AB$10+IF(AND($R41&gt;=AB$15,AB$15&gt;0),AB$18,0),IF(AND(AB$7-ROUND(SUM($T$37:$T40)/$H$26,0)&gt;0,AB$7-ROUND(SUM($T$37:$T40)/$H$26,0)&lt;=ROUND($T41/$H$26,0)),ROUND((AB$7-ROUND(SUM($T$37:$T40)/$H$26,0))*AB$9/30,0),IF(AB$7-ROUND(SUM($T$37:$T40)/$H$26,0)&gt;ROUND($T41/$H$26,0),ROUND(AB$9/30*ROUND($T41/$H$26,0),0))), AB$10+ IF(AND($R41&gt;=AB$15,AB$15&gt;0),AB$18,0)-SUM(Y$37:Y40)),0)+IF(OR(AND($R41&lt;=DATE($Y$6+1,4,15),AB$15&lt;=DATE($Y$6+1,4,15),AB$15&gt;0,AB$7-ROUND(SUM($T$37:$T40)/$H$26,0)&gt;=ROUND($T41/$H$26,0)), AB$15&gt;$R41),0,IF(AND($R41&lt;=DATE($Y$6+1,4,15),AB$15&lt;=DATE($Y$6+1,4,15),AB$15&gt;0,AB$7-ROUND(SUM($T$37:$T40)/$H$26,0)&gt;0,AB$7-ROUND(SUM($T$37:$T40)/$H$26,0)&lt;ROUND($T41/$H$26,0)),(ROUND($T41/$H$26,0)-(AB$7-ROUND(SUM($T$37:$T40)/$H$26,0)))*ROUND(AB$16/30,0),IF(AND($R41&gt;=AB$15,AB$15&gt;0,$R41&lt;=DATE($Y$12+1,4,15)),IF(SUM(Y$37:Y40)+ROUND(IF(YEAR($R41)=$Y$12,AB$16,IF(YEAR($R41)=$Y$12+1,AB$17,0))/30*ROUND($T41/$H$26,0),0)&lt;=AB$10+IF(AND($R41&gt;=AB$15,AB$15&gt;0),AB$18,0),ROUND(IF(YEAR($R41)=$Y$12,AB$16,IF(YEAR($R41)=$Y$12+1,AB$17,0))/30*ROUND($T41/$H$26,0),0),AB$10+AB$18-SUM(Y$37:Y40)),0)))))</f>
        <v>0</v>
      </c>
      <c r="Z41" s="10">
        <f>IF(OR($H$18=0,$T41=0),0,IF(IF(AND(AC$8&lt;=$R41,$R41&lt;=DATE($Y$6+1,4,15)),IF(SUM(Z$37:Z40)+IF(AND(AC$7-ROUND(SUM($T$37:$T40)/$H$26,0)&gt;0,AC$7-ROUND(SUM($T$37:$T40)/$H$26,0)&lt;=ROUND($T41/$H$26,0)),ROUND((AC$7-ROUND(SUM($T$37:$T40)/$H$26,0))*AC$9/30,0),IF(AC$7-ROUND(SUM($T$37:$T40)/$H$26,0)&gt;ROUND($T41/$H$26,0),ROUND(AC$9/30*ROUND($T41/$H$26,0),0)))&lt;=AC$10+IF(AND($R41&gt;=AC$15,AC$15&gt;0),AC$18,0),IF(AND(AC$7-ROUND(SUM($T$37:$T40)/$H$26,0)&gt;0,AC$7-ROUND(SUM($T$37:$T40)/$H$26,0)&lt;=ROUND($T41/$H$26,0)),ROUND((AC$7-ROUND(SUM($T$37:$T40)/$H$26,0))*AC$9/30,0),IF(AC$7-ROUND(SUM($T$37:$T40)/$H$26,0)&gt;ROUND($T41/$H$26,0),ROUND(AC$9/30*ROUND($T41/$H$26,0),0))), AC$10+ IF(AND($R41&gt;=AC$15,AC$15&gt;0),AC$18,0)-SUM(Z$37:Z40)),0)+IF(OR(AND($R41&lt;=DATE($Y$6+1,4,15),AC$15&lt;=DATE($Y$6+1,4,15),AC$15&gt;0,AC$7-ROUND(SUM($T$37:$T40)/$H$26,0)&gt;=ROUND($T41/$H$26,0)), AC$15&gt;$R41),0,IF(AND($R41&lt;=DATE($Y$6+1,4,15),AC$15&lt;=DATE($Y$6+1,4,15),AC$15&gt;0,AC$7-ROUND(SUM($T$37:$T40)/$H$26,0)&gt;0,AC$7-ROUND(SUM($T$37:$T40)/$H$26,0)&lt;ROUND($T41/$H$26,0)),(ROUND($T41/$H$26,0)-(AC$7-ROUND(SUM($T$37:$T40)/$H$26,0)))*ROUND(AC$16/30,0),IF(AND($R41&gt;=AC$15,AC$15&gt;0,$R41&lt;=DATE($Y$12+1,4,15)),IF(SUM(Z$37:Z40)+ROUND(IF(YEAR($R41)=$Y$12,AC$16,IF(YEAR($R41)=$Y$12+1,AC$17,0))/30*ROUND($T41/$H$26,0),0)&lt;=AC$10+IF(AND($R41&gt;=AC$15,AC$15&gt;0),AC$18,0),ROUND(IF(YEAR($R41)=$Y$12,AC$16,IF(YEAR($R41)=$Y$12+1,AC$17,0))/30*ROUND($T41/$H$26,0),0),AC$10+AC$18-SUM(Z$37:Z40)),0)))&gt;ROUND(ROUND(16*INDEX($AT$5:$AT$7,MATCH(YEAR($R41),$AS$5:$AS$7,0),1)-1,-3)/30*ROUND($T41/$H$26,0),0),ROUND(ROUND(16*INDEX($AT$5:$AT$7,MATCH(YEAR($R41),$AS$5:$AS$7,0),1)-1,-3)/30*ROUND($T41/$H$26,0),0), IF(AND(AC$8&lt;=$R41,$R41&lt;=DATE($Y$6+1,4,15)),IF(SUM(Z$37:Z40)+IF(AND(AC$7-ROUND(SUM($T$37:$T40)/$H$26,0)&gt;0,AC$7-ROUND(SUM($T$37:$T40)/$H$26,0)&lt;=ROUND($T41/$H$26,0)),ROUND((AC$7-ROUND(SUM($T$37:$T40)/$H$26,0))*AC$9/30,0),IF(AC$7-ROUND(SUM($T$37:$T40)/$H$26,0)&gt;ROUND($T41/$H$26,0),ROUND(AC$9/30*ROUND($T41/$H$26,0),0)))&lt;=AC$10+IF(AND($R41&gt;=AC$15,AC$15&gt;0),AC$18,0),IF(AND(AC$7-ROUND(SUM($T$37:$T40)/$H$26,0)&gt;0,AC$7-ROUND(SUM($T$37:$T40)/$H$26,0)&lt;=ROUND($T41/$H$26,0)),ROUND((AC$7-ROUND(SUM($T$37:$T40)/$H$26,0))*AC$9/30,0),IF(AC$7-ROUND(SUM($T$37:$T40)/$H$26,0)&gt;ROUND($T41/$H$26,0),ROUND(AC$9/30*ROUND($T41/$H$26,0),0))), AC$10+ IF(AND($R41&gt;=AC$15,AC$15&gt;0),AC$18,0)-SUM(Z$37:Z40)),0)+IF(OR(AND($R41&lt;=DATE($Y$6+1,4,15),AC$15&lt;=DATE($Y$6+1,4,15),AC$15&gt;0,AC$7-ROUND(SUM($T$37:$T40)/$H$26,0)&gt;=ROUND($T41/$H$26,0)), AC$15&gt;$R41),0,IF(AND($R41&lt;=DATE($Y$6+1,4,15),AC$15&lt;=DATE($Y$6+1,4,15),AC$15&gt;0,AC$7-ROUND(SUM($T$37:$T40)/$H$26,0)&gt;0,AC$7-ROUND(SUM($T$37:$T40)/$H$26,0)&lt;ROUND($T41/$H$26,0)),(ROUND($T41/$H$26,0)-(AC$7-ROUND(SUM($T$37:$T40)/$H$26,0)))*ROUND(AC$16/30,0),IF(AND($R41&gt;=AC$15,AC$15&gt;0,$R41&lt;=DATE($Y$12+1,4,15)),IF(SUM(Z$37:Z40)+ROUND(IF(YEAR($R41)=$Y$12,AC$16,IF(YEAR($R41)=$Y$12+1,AC$17,0))/30*ROUND($T41/$H$26,0),0)&lt;=AC$10+IF(AND($R41&gt;=AC$15,AC$15&gt;0),AC$18,0),ROUND(IF(YEAR($R41)=$Y$12,AC$16,IF(YEAR($R41)=$Y$12+1,AC$17,0))/30*ROUND($T41/$H$26,0),0),AC$10+AC$18-SUM(Z$37:Z40)),0)))))</f>
        <v>0</v>
      </c>
      <c r="AA41" s="97" t="str">
        <f t="shared" si="11"/>
        <v>No</v>
      </c>
      <c r="AB41" s="10">
        <f t="shared" si="12"/>
        <v>0</v>
      </c>
      <c r="AC41" s="19"/>
      <c r="AD41" s="10">
        <f t="shared" si="13"/>
        <v>0</v>
      </c>
      <c r="AE41" s="10">
        <f t="shared" si="14"/>
        <v>0</v>
      </c>
      <c r="AF41" s="10">
        <f t="shared" si="15"/>
        <v>0</v>
      </c>
      <c r="AG41" s="10">
        <f t="shared" si="16"/>
        <v>0</v>
      </c>
      <c r="AH41" s="10">
        <f t="shared" si="17"/>
        <v>0</v>
      </c>
      <c r="AI41" s="10">
        <f t="shared" si="18"/>
        <v>0</v>
      </c>
      <c r="AJ41" s="2">
        <f t="shared" si="19"/>
        <v>0</v>
      </c>
      <c r="AK41" s="3">
        <f t="shared" si="20"/>
        <v>0</v>
      </c>
      <c r="AL41" s="10">
        <f t="shared" si="21"/>
        <v>0</v>
      </c>
      <c r="AM41" s="10">
        <f t="shared" si="22"/>
        <v>0</v>
      </c>
      <c r="AN41" s="20"/>
      <c r="AO41" s="10">
        <f t="shared" si="23"/>
        <v>0</v>
      </c>
      <c r="AP41" s="11">
        <f t="shared" si="24"/>
        <v>0</v>
      </c>
      <c r="AQ41" s="10">
        <f t="shared" si="25"/>
        <v>0</v>
      </c>
      <c r="AR41" s="10">
        <f t="shared" si="26"/>
        <v>0</v>
      </c>
      <c r="AS41" s="10">
        <f t="shared" si="27"/>
        <v>0</v>
      </c>
      <c r="AT41" s="10">
        <f t="shared" si="28"/>
        <v>0</v>
      </c>
      <c r="AU41" s="10">
        <f t="shared" si="38"/>
        <v>0</v>
      </c>
      <c r="AV41" s="10">
        <f t="shared" si="29"/>
        <v>0</v>
      </c>
      <c r="AW41" s="2">
        <f t="shared" si="30"/>
        <v>0</v>
      </c>
      <c r="AX41" s="3">
        <f t="shared" si="39"/>
        <v>0</v>
      </c>
      <c r="AY41" s="10">
        <f t="shared" si="31"/>
        <v>0</v>
      </c>
      <c r="AZ41" s="19"/>
      <c r="BA41" s="19"/>
      <c r="BB41" s="19"/>
      <c r="BC41" s="19"/>
      <c r="BD41" s="10">
        <f t="shared" si="32"/>
        <v>0</v>
      </c>
      <c r="BE41" s="3">
        <f t="shared" si="33"/>
        <v>0</v>
      </c>
      <c r="BF41" s="3">
        <f t="shared" si="34"/>
        <v>0</v>
      </c>
      <c r="BG41" s="4">
        <f t="shared" si="35"/>
        <v>0</v>
      </c>
      <c r="BH41" s="68"/>
      <c r="BI41" s="115"/>
      <c r="BJ41" s="115"/>
      <c r="BK41" s="122"/>
      <c r="BL41" s="115"/>
      <c r="BM41" s="115"/>
      <c r="BN41" s="122"/>
      <c r="BO41" s="115"/>
      <c r="BP41" s="115"/>
      <c r="BQ41" s="122"/>
      <c r="BR41" s="115"/>
      <c r="BT41" s="90" t="s">
        <v>108</v>
      </c>
      <c r="BU41" s="91" t="s">
        <v>166</v>
      </c>
      <c r="BV41" s="112"/>
      <c r="BW41" s="113"/>
    </row>
    <row r="42" spans="1:75" ht="12.75" customHeight="1" x14ac:dyDescent="0.2">
      <c r="A42" s="48">
        <v>5</v>
      </c>
      <c r="B42" s="13">
        <f t="shared" si="36"/>
        <v>46173</v>
      </c>
      <c r="C42" s="98">
        <f>IF(OR($H$19=0,$H$20=0),0,IF(AND($H$19&gt;=EOMONTH($B42,-1)+1,$H$20&lt;=$B42),$H$25,IF(AND(EOMONTH($B42,-1)+1&gt;EOMONTH($H$19,0),$B42&lt;=EOMONTH($H$20,-1)),30-IF(OR($H$21=0,$H$22=0),0,IF(AND($B42=EOMONTH($H$21,0),$H$22&gt;$B42,$B42&gt;EOMONTH($H$19,0)),DAYS360($H$21,EOMONTH($H$21,0)+1),IF(AND($B42=EOMONTH($H$22,0),$B42&lt;$H$20,$H$21&lt;EOMONTH($B42,-1)+1),DAYS360(EOMONTH($H$22,-1)+1,$H$22+1),IF(AND(EOMONTH($B42,-1)+1&gt;EOMONTH($H$21,0),$B42&lt;=EOMONTH($H$22,-1)),30,IF(AND($B42=EOMONTH($H$21,0),$B42=EOMONTH($H$22,0)),$H$24,0))))),IF(AND($B42=EOMONTH($H$19,0),$B42&lt;$H$20),EOMONTH($H$19,0)-$H$19+IF(AND(MONTH($H$19)=2, DAY($H$19)=1,DAY(EOMONTH($H$19,0))=28),3,IF(AND(MONTH($H$19)=2, DAY($H$19)=1,DAY(EOMONTH($H$19,0))=29),2,IF(AND(DAY(EOMONTH($H$19,0))=31,DAY($H$19)=1),0,1)))-IF(AND($B42=EOMONTH($H$21,0),$H$22&gt;$B42,$H$20&gt;$B42),DAYS360($H$21,EOMONTH($H$21,0)+1),IF(AND($B42=EOMONTH($H$21,0),$B42=EOMONTH($H$22,0)),$H$24,0)),IF(AND($B42=EOMONTH($H$20,0)),$H$25-SUM($C$37:$C41),0)))))</f>
        <v>0</v>
      </c>
      <c r="D42" s="134"/>
      <c r="E42" s="144">
        <f>ROUND(IF(OR($H$19=0,$H$20=0),0,IF(AND($B42=EOMONTH($H$20,0)),$H$27-SUM($E$37:$E41),IF($C42=30,$H$18,IF($C42=31,$H$18+$H$26,$H$26*$C42)))),0)</f>
        <v>0</v>
      </c>
      <c r="F42" s="108">
        <f t="shared" si="1"/>
        <v>0</v>
      </c>
      <c r="G42" s="71">
        <f t="shared" si="37"/>
        <v>0</v>
      </c>
      <c r="H42" s="109">
        <f t="shared" si="2"/>
        <v>0</v>
      </c>
      <c r="I42" s="3">
        <f t="shared" si="3"/>
        <v>0</v>
      </c>
      <c r="J42" s="109">
        <f t="shared" si="4"/>
        <v>0</v>
      </c>
      <c r="K42" s="120"/>
      <c r="L42" s="109">
        <f t="shared" si="5"/>
        <v>0</v>
      </c>
      <c r="M42" s="10">
        <f t="shared" si="6"/>
        <v>0</v>
      </c>
      <c r="N42" s="133"/>
      <c r="O42" s="133"/>
      <c r="P42" s="18"/>
      <c r="Q42" s="31"/>
      <c r="R42" s="61"/>
      <c r="S42" s="1" t="str">
        <f>IF(OR($R42&lt;&gt;0,$T42&lt;&gt;0),1+MAX(S$37:S41),"")</f>
        <v/>
      </c>
      <c r="T42" s="115"/>
      <c r="U42" s="11">
        <f t="shared" si="7"/>
        <v>0</v>
      </c>
      <c r="V42" s="11">
        <f t="shared" si="8"/>
        <v>0</v>
      </c>
      <c r="W42" s="11">
        <f t="shared" si="9"/>
        <v>0</v>
      </c>
      <c r="X42" s="10">
        <f t="shared" si="10"/>
        <v>0</v>
      </c>
      <c r="Y42" s="10">
        <f>IF(OR($H$18=0,$T42=0),0,IF(IF(AND(AB$8&lt;=$R42,$R42&lt;=DATE($Y$6+1,4,15)),IF(SUM(Y$37:Y41)+IF(AND(AB$7-ROUND(SUM($T$37:$T41)/$H$26,0)&gt;0,AB$7-ROUND(SUM($T$37:$T41)/$H$26,0)&lt;=ROUND($T42/$H$26,0)),ROUND((AB$7-ROUND(SUM($T$37:$T41)/$H$26,0))*AB$9/30,0),IF(AB$7-ROUND(SUM($T$37:$T41)/$H$26,0)&gt;ROUND($T42/$H$26,0),ROUND(AB$9/30*ROUND($T42/$H$26,0),0)))&lt;=AB$10+IF(AND($R42&gt;=AB$15,AB$15&gt;0),AB$18,0),IF(AND(AB$7-ROUND(SUM($T$37:$T41)/$H$26,0)&gt;0,AB$7-ROUND(SUM($T$37:$T41)/$H$26,0)&lt;=ROUND($T42/$H$26,0)),ROUND((AB$7-ROUND(SUM($T$37:$T41)/$H$26,0))*AB$9/30,0),IF(AB$7-ROUND(SUM($T$37:$T41)/$H$26,0)&gt;ROUND($T42/$H$26,0),ROUND(AB$9/30*ROUND($T42/$H$26,0),0))), AB$10+ IF(AND($R42&gt;=AB$15,AB$15&gt;0),AB$18,0)-SUM(Y$37:Y41)),0)+IF(OR(AND($R42&lt;=DATE($Y$6+1,4,15),AB$15&lt;=DATE($Y$6+1,4,15),AB$15&gt;0,AB$7-ROUND(SUM($T$37:$T41)/$H$26,0)&gt;=ROUND($T42/$H$26,0)), AB$15&gt;$R42),0,IF(AND($R42&lt;=DATE($Y$6+1,4,15),AB$15&lt;=DATE($Y$6+1,4,15),AB$15&gt;0,AB$7-ROUND(SUM($T$37:$T41)/$H$26,0)&gt;0,AB$7-ROUND(SUM($T$37:$T41)/$H$26,0)&lt;ROUND($T42/$H$26,0)),(ROUND($T42/$H$26,0)-(AB$7-ROUND(SUM($T$37:$T41)/$H$26,0)))*ROUND(AB$16/30,0),IF(AND($R42&gt;=AB$15,AB$15&gt;0,$R42&lt;=DATE($Y$12+1,4,15)),IF(SUM(Y$37:Y41)+ROUND(IF(YEAR($R42)=$Y$12,AB$16,IF(YEAR($R42)=$Y$12+1,AB$17,0))/30*ROUND($T42/$H$26,0),0)&lt;=AB$10+IF(AND($R42&gt;=AB$15,AB$15&gt;0),AB$18,0),ROUND(IF(YEAR($R42)=$Y$12,AB$16,IF(YEAR($R42)=$Y$12+1,AB$17,0))/30*ROUND($T42/$H$26,0),0),AB$10+AB$18-SUM(Y$37:Y41)),0)))&gt;ROUND(ROUND(100*INDEX($AT$5:$AT$7,MATCH(YEAR($R42),$AS$5:$AS$7,0),1)-1,-3)/30*ROUND($T42/$H$26,0),0),ROUND(ROUND(100*INDEX($AT$5:$AT$7,MATCH(YEAR($R42),$AS$5:$AS$7,0),1)-1,-3)/30*ROUND($T42/$H$26,0),0), IF(AND(AB$8&lt;=$R42,$R42&lt;=DATE($Y$6+1,4,15)),IF(SUM(Y$37:Y41)+IF(AND(AB$7-ROUND(SUM($T$37:$T41)/$H$26,0)&gt;0,AB$7-ROUND(SUM($T$37:$T41)/$H$26,0)&lt;=ROUND($T42/$H$26,0)),ROUND((AB$7-ROUND(SUM($T$37:$T41)/$H$26,0))*AB$9/30,0),IF(AB$7-ROUND(SUM($T$37:$T41)/$H$26,0)&gt;ROUND($T42/$H$26,0),ROUND(AB$9/30*ROUND($T42/$H$26,0),0)))&lt;=AB$10+IF(AND($R42&gt;=AB$15,AB$15&gt;0),AB$18,0),IF(AND(AB$7-ROUND(SUM($T$37:$T41)/$H$26,0)&gt;0,AB$7-ROUND(SUM($T$37:$T41)/$H$26,0)&lt;=ROUND($T42/$H$26,0)),ROUND((AB$7-ROUND(SUM($T$37:$T41)/$H$26,0))*AB$9/30,0),IF(AB$7-ROUND(SUM($T$37:$T41)/$H$26,0)&gt;ROUND($T42/$H$26,0),ROUND(AB$9/30*ROUND($T42/$H$26,0),0))), AB$10+ IF(AND($R42&gt;=AB$15,AB$15&gt;0),AB$18,0)-SUM(Y$37:Y41)),0)+IF(OR(AND($R42&lt;=DATE($Y$6+1,4,15),AB$15&lt;=DATE($Y$6+1,4,15),AB$15&gt;0,AB$7-ROUND(SUM($T$37:$T41)/$H$26,0)&gt;=ROUND($T42/$H$26,0)), AB$15&gt;$R42),0,IF(AND($R42&lt;=DATE($Y$6+1,4,15),AB$15&lt;=DATE($Y$6+1,4,15),AB$15&gt;0,AB$7-ROUND(SUM($T$37:$T41)/$H$26,0)&gt;0,AB$7-ROUND(SUM($T$37:$T41)/$H$26,0)&lt;ROUND($T42/$H$26,0)),(ROUND($T42/$H$26,0)-(AB$7-ROUND(SUM($T$37:$T41)/$H$26,0)))*ROUND(AB$16/30,0),IF(AND($R42&gt;=AB$15,AB$15&gt;0,$R42&lt;=DATE($Y$12+1,4,15)),IF(SUM(Y$37:Y41)+ROUND(IF(YEAR($R42)=$Y$12,AB$16,IF(YEAR($R42)=$Y$12+1,AB$17,0))/30*ROUND($T42/$H$26,0),0)&lt;=AB$10+IF(AND($R42&gt;=AB$15,AB$15&gt;0),AB$18,0),ROUND(IF(YEAR($R42)=$Y$12,AB$16,IF(YEAR($R42)=$Y$12+1,AB$17,0))/30*ROUND($T42/$H$26,0),0),AB$10+AB$18-SUM(Y$37:Y41)),0)))))</f>
        <v>0</v>
      </c>
      <c r="Z42" s="10">
        <f>IF(OR($H$18=0,$T42=0),0,IF(IF(AND(AC$8&lt;=$R42,$R42&lt;=DATE($Y$6+1,4,15)),IF(SUM(Z$37:Z41)+IF(AND(AC$7-ROUND(SUM($T$37:$T41)/$H$26,0)&gt;0,AC$7-ROUND(SUM($T$37:$T41)/$H$26,0)&lt;=ROUND($T42/$H$26,0)),ROUND((AC$7-ROUND(SUM($T$37:$T41)/$H$26,0))*AC$9/30,0),IF(AC$7-ROUND(SUM($T$37:$T41)/$H$26,0)&gt;ROUND($T42/$H$26,0),ROUND(AC$9/30*ROUND($T42/$H$26,0),0)))&lt;=AC$10+IF(AND($R42&gt;=AC$15,AC$15&gt;0),AC$18,0),IF(AND(AC$7-ROUND(SUM($T$37:$T41)/$H$26,0)&gt;0,AC$7-ROUND(SUM($T$37:$T41)/$H$26,0)&lt;=ROUND($T42/$H$26,0)),ROUND((AC$7-ROUND(SUM($T$37:$T41)/$H$26,0))*AC$9/30,0),IF(AC$7-ROUND(SUM($T$37:$T41)/$H$26,0)&gt;ROUND($T42/$H$26,0),ROUND(AC$9/30*ROUND($T42/$H$26,0),0))), AC$10+ IF(AND($R42&gt;=AC$15,AC$15&gt;0),AC$18,0)-SUM(Z$37:Z41)),0)+IF(OR(AND($R42&lt;=DATE($Y$6+1,4,15),AC$15&lt;=DATE($Y$6+1,4,15),AC$15&gt;0,AC$7-ROUND(SUM($T$37:$T41)/$H$26,0)&gt;=ROUND($T42/$H$26,0)), AC$15&gt;$R42),0,IF(AND($R42&lt;=DATE($Y$6+1,4,15),AC$15&lt;=DATE($Y$6+1,4,15),AC$15&gt;0,AC$7-ROUND(SUM($T$37:$T41)/$H$26,0)&gt;0,AC$7-ROUND(SUM($T$37:$T41)/$H$26,0)&lt;ROUND($T42/$H$26,0)),(ROUND($T42/$H$26,0)-(AC$7-ROUND(SUM($T$37:$T41)/$H$26,0)))*ROUND(AC$16/30,0),IF(AND($R42&gt;=AC$15,AC$15&gt;0,$R42&lt;=DATE($Y$12+1,4,15)),IF(SUM(Z$37:Z41)+ROUND(IF(YEAR($R42)=$Y$12,AC$16,IF(YEAR($R42)=$Y$12+1,AC$17,0))/30*ROUND($T42/$H$26,0),0)&lt;=AC$10+IF(AND($R42&gt;=AC$15,AC$15&gt;0),AC$18,0),ROUND(IF(YEAR($R42)=$Y$12,AC$16,IF(YEAR($R42)=$Y$12+1,AC$17,0))/30*ROUND($T42/$H$26,0),0),AC$10+AC$18-SUM(Z$37:Z41)),0)))&gt;ROUND(ROUND(16*INDEX($AT$5:$AT$7,MATCH(YEAR($R42),$AS$5:$AS$7,0),1)-1,-3)/30*ROUND($T42/$H$26,0),0),ROUND(ROUND(16*INDEX($AT$5:$AT$7,MATCH(YEAR($R42),$AS$5:$AS$7,0),1)-1,-3)/30*ROUND($T42/$H$26,0),0), IF(AND(AC$8&lt;=$R42,$R42&lt;=DATE($Y$6+1,4,15)),IF(SUM(Z$37:Z41)+IF(AND(AC$7-ROUND(SUM($T$37:$T41)/$H$26,0)&gt;0,AC$7-ROUND(SUM($T$37:$T41)/$H$26,0)&lt;=ROUND($T42/$H$26,0)),ROUND((AC$7-ROUND(SUM($T$37:$T41)/$H$26,0))*AC$9/30,0),IF(AC$7-ROUND(SUM($T$37:$T41)/$H$26,0)&gt;ROUND($T42/$H$26,0),ROUND(AC$9/30*ROUND($T42/$H$26,0),0)))&lt;=AC$10+IF(AND($R42&gt;=AC$15,AC$15&gt;0),AC$18,0),IF(AND(AC$7-ROUND(SUM($T$37:$T41)/$H$26,0)&gt;0,AC$7-ROUND(SUM($T$37:$T41)/$H$26,0)&lt;=ROUND($T42/$H$26,0)),ROUND((AC$7-ROUND(SUM($T$37:$T41)/$H$26,0))*AC$9/30,0),IF(AC$7-ROUND(SUM($T$37:$T41)/$H$26,0)&gt;ROUND($T42/$H$26,0),ROUND(AC$9/30*ROUND($T42/$H$26,0),0))), AC$10+ IF(AND($R42&gt;=AC$15,AC$15&gt;0),AC$18,0)-SUM(Z$37:Z41)),0)+IF(OR(AND($R42&lt;=DATE($Y$6+1,4,15),AC$15&lt;=DATE($Y$6+1,4,15),AC$15&gt;0,AC$7-ROUND(SUM($T$37:$T41)/$H$26,0)&gt;=ROUND($T42/$H$26,0)), AC$15&gt;$R42),0,IF(AND($R42&lt;=DATE($Y$6+1,4,15),AC$15&lt;=DATE($Y$6+1,4,15),AC$15&gt;0,AC$7-ROUND(SUM($T$37:$T41)/$H$26,0)&gt;0,AC$7-ROUND(SUM($T$37:$T41)/$H$26,0)&lt;ROUND($T42/$H$26,0)),(ROUND($T42/$H$26,0)-(AC$7-ROUND(SUM($T$37:$T41)/$H$26,0)))*ROUND(AC$16/30,0),IF(AND($R42&gt;=AC$15,AC$15&gt;0,$R42&lt;=DATE($Y$12+1,4,15)),IF(SUM(Z$37:Z41)+ROUND(IF(YEAR($R42)=$Y$12,AC$16,IF(YEAR($R42)=$Y$12+1,AC$17,0))/30*ROUND($T42/$H$26,0),0)&lt;=AC$10+IF(AND($R42&gt;=AC$15,AC$15&gt;0),AC$18,0),ROUND(IF(YEAR($R42)=$Y$12,AC$16,IF(YEAR($R42)=$Y$12+1,AC$17,0))/30*ROUND($T42/$H$26,0),0),AC$10+AC$18-SUM(Z$37:Z41)),0)))))</f>
        <v>0</v>
      </c>
      <c r="AA42" s="97" t="str">
        <f t="shared" si="11"/>
        <v>No</v>
      </c>
      <c r="AB42" s="10">
        <f t="shared" si="12"/>
        <v>0</v>
      </c>
      <c r="AC42" s="19"/>
      <c r="AD42" s="10">
        <f t="shared" si="13"/>
        <v>0</v>
      </c>
      <c r="AE42" s="10">
        <f t="shared" si="14"/>
        <v>0</v>
      </c>
      <c r="AF42" s="10">
        <f t="shared" si="15"/>
        <v>0</v>
      </c>
      <c r="AG42" s="10">
        <f t="shared" si="16"/>
        <v>0</v>
      </c>
      <c r="AH42" s="10">
        <f t="shared" si="17"/>
        <v>0</v>
      </c>
      <c r="AI42" s="10">
        <f t="shared" si="18"/>
        <v>0</v>
      </c>
      <c r="AJ42" s="2">
        <f t="shared" si="19"/>
        <v>0</v>
      </c>
      <c r="AK42" s="3">
        <f t="shared" si="20"/>
        <v>0</v>
      </c>
      <c r="AL42" s="10">
        <f t="shared" si="21"/>
        <v>0</v>
      </c>
      <c r="AM42" s="10">
        <f t="shared" si="22"/>
        <v>0</v>
      </c>
      <c r="AN42" s="20"/>
      <c r="AO42" s="10">
        <f t="shared" si="23"/>
        <v>0</v>
      </c>
      <c r="AP42" s="11">
        <f t="shared" si="24"/>
        <v>0</v>
      </c>
      <c r="AQ42" s="10">
        <f t="shared" si="25"/>
        <v>0</v>
      </c>
      <c r="AR42" s="10">
        <f t="shared" si="26"/>
        <v>0</v>
      </c>
      <c r="AS42" s="10">
        <f t="shared" si="27"/>
        <v>0</v>
      </c>
      <c r="AT42" s="10">
        <f t="shared" si="28"/>
        <v>0</v>
      </c>
      <c r="AU42" s="10">
        <f t="shared" si="38"/>
        <v>0</v>
      </c>
      <c r="AV42" s="10">
        <f t="shared" si="29"/>
        <v>0</v>
      </c>
      <c r="AW42" s="2">
        <f t="shared" si="30"/>
        <v>0</v>
      </c>
      <c r="AX42" s="3">
        <f t="shared" si="39"/>
        <v>0</v>
      </c>
      <c r="AY42" s="10">
        <f t="shared" si="31"/>
        <v>0</v>
      </c>
      <c r="AZ42" s="19"/>
      <c r="BA42" s="19"/>
      <c r="BB42" s="19"/>
      <c r="BC42" s="19"/>
      <c r="BD42" s="10">
        <f t="shared" si="32"/>
        <v>0</v>
      </c>
      <c r="BE42" s="3">
        <f t="shared" si="33"/>
        <v>0</v>
      </c>
      <c r="BF42" s="3">
        <f t="shared" si="34"/>
        <v>0</v>
      </c>
      <c r="BG42" s="4">
        <f t="shared" si="35"/>
        <v>0</v>
      </c>
      <c r="BH42" s="68"/>
      <c r="BI42" s="115"/>
      <c r="BJ42" s="115"/>
      <c r="BK42" s="122"/>
      <c r="BL42" s="115"/>
      <c r="BM42" s="115"/>
      <c r="BN42" s="122"/>
      <c r="BO42" s="115"/>
      <c r="BP42" s="115"/>
      <c r="BQ42" s="122"/>
      <c r="BR42" s="115"/>
      <c r="BT42" s="90" t="s">
        <v>108</v>
      </c>
      <c r="BU42" s="91" t="s">
        <v>167</v>
      </c>
      <c r="BV42" s="112"/>
      <c r="BW42" s="113"/>
    </row>
    <row r="43" spans="1:75" ht="12.75" customHeight="1" x14ac:dyDescent="0.2">
      <c r="A43" s="48">
        <v>6</v>
      </c>
      <c r="B43" s="13">
        <f t="shared" si="36"/>
        <v>46203</v>
      </c>
      <c r="C43" s="98">
        <f>IF(OR($H$19=0,$H$20=0),0,IF(AND($H$19&gt;=EOMONTH($B43,-1)+1,$H$20&lt;=$B43),$H$25,IF(AND(EOMONTH($B43,-1)+1&gt;EOMONTH($H$19,0),$B43&lt;=EOMONTH($H$20,-1)),30-IF(OR($H$21=0,$H$22=0),0,IF(AND($B43=EOMONTH($H$21,0),$H$22&gt;$B43,$B43&gt;EOMONTH($H$19,0)),DAYS360($H$21,EOMONTH($H$21,0)+1),IF(AND($B43=EOMONTH($H$22,0),$B43&lt;$H$20,$H$21&lt;EOMONTH($B43,-1)+1),DAYS360(EOMONTH($H$22,-1)+1,$H$22+1),IF(AND(EOMONTH($B43,-1)+1&gt;EOMONTH($H$21,0),$B43&lt;=EOMONTH($H$22,-1)),30,IF(AND($B43=EOMONTH($H$21,0),$B43=EOMONTH($H$22,0)),$H$24,0))))),IF(AND($B43=EOMONTH($H$19,0),$B43&lt;$H$20),EOMONTH($H$19,0)-$H$19+IF(AND(MONTH($H$19)=2, DAY($H$19)=1,DAY(EOMONTH($H$19,0))=28),3,IF(AND(MONTH($H$19)=2, DAY($H$19)=1,DAY(EOMONTH($H$19,0))=29),2,IF(AND(DAY(EOMONTH($H$19,0))=31,DAY($H$19)=1),0,1)))-IF(AND($B43=EOMONTH($H$21,0),$H$22&gt;$B43,$H$20&gt;$B43),DAYS360($H$21,EOMONTH($H$21,0)+1),IF(AND($B43=EOMONTH($H$21,0),$B43=EOMONTH($H$22,0)),$H$24,0)),IF(AND($B43=EOMONTH($H$20,0)),$H$25-SUM($C$37:$C42),0)))))</f>
        <v>0</v>
      </c>
      <c r="D43" s="134"/>
      <c r="E43" s="144">
        <f>ROUND(IF(OR($H$19=0,$H$20=0),0,IF(AND($B43=EOMONTH($H$20,0)),$H$27-SUM($E$37:$E42),IF($C43=30,$H$18,IF($C43=31,$H$18+$H$26,$H$26*$C43)))),0)</f>
        <v>0</v>
      </c>
      <c r="F43" s="108">
        <f t="shared" si="1"/>
        <v>0</v>
      </c>
      <c r="G43" s="71">
        <f t="shared" si="37"/>
        <v>0</v>
      </c>
      <c r="H43" s="109">
        <f t="shared" si="2"/>
        <v>0</v>
      </c>
      <c r="I43" s="3">
        <f t="shared" si="3"/>
        <v>0</v>
      </c>
      <c r="J43" s="109">
        <f t="shared" si="4"/>
        <v>0</v>
      </c>
      <c r="K43" s="120"/>
      <c r="L43" s="109">
        <f t="shared" si="5"/>
        <v>0</v>
      </c>
      <c r="M43" s="10">
        <f t="shared" si="6"/>
        <v>0</v>
      </c>
      <c r="N43" s="133"/>
      <c r="O43" s="133"/>
      <c r="P43" s="18"/>
      <c r="Q43" s="31"/>
      <c r="R43" s="61"/>
      <c r="S43" s="1" t="str">
        <f>IF(OR($R43&lt;&gt;0,$T43&lt;&gt;0),1+MAX(S$37:S42),"")</f>
        <v/>
      </c>
      <c r="T43" s="115"/>
      <c r="U43" s="11">
        <f t="shared" si="7"/>
        <v>0</v>
      </c>
      <c r="V43" s="11">
        <f t="shared" si="8"/>
        <v>0</v>
      </c>
      <c r="W43" s="11">
        <f t="shared" si="9"/>
        <v>0</v>
      </c>
      <c r="X43" s="10">
        <f t="shared" si="10"/>
        <v>0</v>
      </c>
      <c r="Y43" s="10">
        <f>IF(OR($H$18=0,$T43=0),0,IF(IF(AND(AB$8&lt;=$R43,$R43&lt;=DATE($Y$6+1,4,15)),IF(SUM(Y$37:Y42)+IF(AND(AB$7-ROUND(SUM($T$37:$T42)/$H$26,0)&gt;0,AB$7-ROUND(SUM($T$37:$T42)/$H$26,0)&lt;=ROUND($T43/$H$26,0)),ROUND((AB$7-ROUND(SUM($T$37:$T42)/$H$26,0))*AB$9/30,0),IF(AB$7-ROUND(SUM($T$37:$T42)/$H$26,0)&gt;ROUND($T43/$H$26,0),ROUND(AB$9/30*ROUND($T43/$H$26,0),0)))&lt;=AB$10+IF(AND($R43&gt;=AB$15,AB$15&gt;0),AB$18,0),IF(AND(AB$7-ROUND(SUM($T$37:$T42)/$H$26,0)&gt;0,AB$7-ROUND(SUM($T$37:$T42)/$H$26,0)&lt;=ROUND($T43/$H$26,0)),ROUND((AB$7-ROUND(SUM($T$37:$T42)/$H$26,0))*AB$9/30,0),IF(AB$7-ROUND(SUM($T$37:$T42)/$H$26,0)&gt;ROUND($T43/$H$26,0),ROUND(AB$9/30*ROUND($T43/$H$26,0),0))), AB$10+ IF(AND($R43&gt;=AB$15,AB$15&gt;0),AB$18,0)-SUM(Y$37:Y42)),0)+IF(OR(AND($R43&lt;=DATE($Y$6+1,4,15),AB$15&lt;=DATE($Y$6+1,4,15),AB$15&gt;0,AB$7-ROUND(SUM($T$37:$T42)/$H$26,0)&gt;=ROUND($T43/$H$26,0)), AB$15&gt;$R43),0,IF(AND($R43&lt;=DATE($Y$6+1,4,15),AB$15&lt;=DATE($Y$6+1,4,15),AB$15&gt;0,AB$7-ROUND(SUM($T$37:$T42)/$H$26,0)&gt;0,AB$7-ROUND(SUM($T$37:$T42)/$H$26,0)&lt;ROUND($T43/$H$26,0)),(ROUND($T43/$H$26,0)-(AB$7-ROUND(SUM($T$37:$T42)/$H$26,0)))*ROUND(AB$16/30,0),IF(AND($R43&gt;=AB$15,AB$15&gt;0,$R43&lt;=DATE($Y$12+1,4,15)),IF(SUM(Y$37:Y42)+ROUND(IF(YEAR($R43)=$Y$12,AB$16,IF(YEAR($R43)=$Y$12+1,AB$17,0))/30*ROUND($T43/$H$26,0),0)&lt;=AB$10+IF(AND($R43&gt;=AB$15,AB$15&gt;0),AB$18,0),ROUND(IF(YEAR($R43)=$Y$12,AB$16,IF(YEAR($R43)=$Y$12+1,AB$17,0))/30*ROUND($T43/$H$26,0),0),AB$10+AB$18-SUM(Y$37:Y42)),0)))&gt;ROUND(ROUND(100*INDEX($AT$5:$AT$7,MATCH(YEAR($R43),$AS$5:$AS$7,0),1)-1,-3)/30*ROUND($T43/$H$26,0),0),ROUND(ROUND(100*INDEX($AT$5:$AT$7,MATCH(YEAR($R43),$AS$5:$AS$7,0),1)-1,-3)/30*ROUND($T43/$H$26,0),0), IF(AND(AB$8&lt;=$R43,$R43&lt;=DATE($Y$6+1,4,15)),IF(SUM(Y$37:Y42)+IF(AND(AB$7-ROUND(SUM($T$37:$T42)/$H$26,0)&gt;0,AB$7-ROUND(SUM($T$37:$T42)/$H$26,0)&lt;=ROUND($T43/$H$26,0)),ROUND((AB$7-ROUND(SUM($T$37:$T42)/$H$26,0))*AB$9/30,0),IF(AB$7-ROUND(SUM($T$37:$T42)/$H$26,0)&gt;ROUND($T43/$H$26,0),ROUND(AB$9/30*ROUND($T43/$H$26,0),0)))&lt;=AB$10+IF(AND($R43&gt;=AB$15,AB$15&gt;0),AB$18,0),IF(AND(AB$7-ROUND(SUM($T$37:$T42)/$H$26,0)&gt;0,AB$7-ROUND(SUM($T$37:$T42)/$H$26,0)&lt;=ROUND($T43/$H$26,0)),ROUND((AB$7-ROUND(SUM($T$37:$T42)/$H$26,0))*AB$9/30,0),IF(AB$7-ROUND(SUM($T$37:$T42)/$H$26,0)&gt;ROUND($T43/$H$26,0),ROUND(AB$9/30*ROUND($T43/$H$26,0),0))), AB$10+ IF(AND($R43&gt;=AB$15,AB$15&gt;0),AB$18,0)-SUM(Y$37:Y42)),0)+IF(OR(AND($R43&lt;=DATE($Y$6+1,4,15),AB$15&lt;=DATE($Y$6+1,4,15),AB$15&gt;0,AB$7-ROUND(SUM($T$37:$T42)/$H$26,0)&gt;=ROUND($T43/$H$26,0)), AB$15&gt;$R43),0,IF(AND($R43&lt;=DATE($Y$6+1,4,15),AB$15&lt;=DATE($Y$6+1,4,15),AB$15&gt;0,AB$7-ROUND(SUM($T$37:$T42)/$H$26,0)&gt;0,AB$7-ROUND(SUM($T$37:$T42)/$H$26,0)&lt;ROUND($T43/$H$26,0)),(ROUND($T43/$H$26,0)-(AB$7-ROUND(SUM($T$37:$T42)/$H$26,0)))*ROUND(AB$16/30,0),IF(AND($R43&gt;=AB$15,AB$15&gt;0,$R43&lt;=DATE($Y$12+1,4,15)),IF(SUM(Y$37:Y42)+ROUND(IF(YEAR($R43)=$Y$12,AB$16,IF(YEAR($R43)=$Y$12+1,AB$17,0))/30*ROUND($T43/$H$26,0),0)&lt;=AB$10+IF(AND($R43&gt;=AB$15,AB$15&gt;0),AB$18,0),ROUND(IF(YEAR($R43)=$Y$12,AB$16,IF(YEAR($R43)=$Y$12+1,AB$17,0))/30*ROUND($T43/$H$26,0),0),AB$10+AB$18-SUM(Y$37:Y42)),0)))))</f>
        <v>0</v>
      </c>
      <c r="Z43" s="10">
        <f>IF(OR($H$18=0,$T43=0),0,IF(IF(AND(AC$8&lt;=$R43,$R43&lt;=DATE($Y$6+1,4,15)),IF(SUM(Z$37:Z42)+IF(AND(AC$7-ROUND(SUM($T$37:$T42)/$H$26,0)&gt;0,AC$7-ROUND(SUM($T$37:$T42)/$H$26,0)&lt;=ROUND($T43/$H$26,0)),ROUND((AC$7-ROUND(SUM($T$37:$T42)/$H$26,0))*AC$9/30,0),IF(AC$7-ROUND(SUM($T$37:$T42)/$H$26,0)&gt;ROUND($T43/$H$26,0),ROUND(AC$9/30*ROUND($T43/$H$26,0),0)))&lt;=AC$10+IF(AND($R43&gt;=AC$15,AC$15&gt;0),AC$18,0),IF(AND(AC$7-ROUND(SUM($T$37:$T42)/$H$26,0)&gt;0,AC$7-ROUND(SUM($T$37:$T42)/$H$26,0)&lt;=ROUND($T43/$H$26,0)),ROUND((AC$7-ROUND(SUM($T$37:$T42)/$H$26,0))*AC$9/30,0),IF(AC$7-ROUND(SUM($T$37:$T42)/$H$26,0)&gt;ROUND($T43/$H$26,0),ROUND(AC$9/30*ROUND($T43/$H$26,0),0))), AC$10+ IF(AND($R43&gt;=AC$15,AC$15&gt;0),AC$18,0)-SUM(Z$37:Z42)),0)+IF(OR(AND($R43&lt;=DATE($Y$6+1,4,15),AC$15&lt;=DATE($Y$6+1,4,15),AC$15&gt;0,AC$7-ROUND(SUM($T$37:$T42)/$H$26,0)&gt;=ROUND($T43/$H$26,0)), AC$15&gt;$R43),0,IF(AND($R43&lt;=DATE($Y$6+1,4,15),AC$15&lt;=DATE($Y$6+1,4,15),AC$15&gt;0,AC$7-ROUND(SUM($T$37:$T42)/$H$26,0)&gt;0,AC$7-ROUND(SUM($T$37:$T42)/$H$26,0)&lt;ROUND($T43/$H$26,0)),(ROUND($T43/$H$26,0)-(AC$7-ROUND(SUM($T$37:$T42)/$H$26,0)))*ROUND(AC$16/30,0),IF(AND($R43&gt;=AC$15,AC$15&gt;0,$R43&lt;=DATE($Y$12+1,4,15)),IF(SUM(Z$37:Z42)+ROUND(IF(YEAR($R43)=$Y$12,AC$16,IF(YEAR($R43)=$Y$12+1,AC$17,0))/30*ROUND($T43/$H$26,0),0)&lt;=AC$10+IF(AND($R43&gt;=AC$15,AC$15&gt;0),AC$18,0),ROUND(IF(YEAR($R43)=$Y$12,AC$16,IF(YEAR($R43)=$Y$12+1,AC$17,0))/30*ROUND($T43/$H$26,0),0),AC$10+AC$18-SUM(Z$37:Z42)),0)))&gt;ROUND(ROUND(16*INDEX($AT$5:$AT$7,MATCH(YEAR($R43),$AS$5:$AS$7,0),1)-1,-3)/30*ROUND($T43/$H$26,0),0),ROUND(ROUND(16*INDEX($AT$5:$AT$7,MATCH(YEAR($R43),$AS$5:$AS$7,0),1)-1,-3)/30*ROUND($T43/$H$26,0),0), IF(AND(AC$8&lt;=$R43,$R43&lt;=DATE($Y$6+1,4,15)),IF(SUM(Z$37:Z42)+IF(AND(AC$7-ROUND(SUM($T$37:$T42)/$H$26,0)&gt;0,AC$7-ROUND(SUM($T$37:$T42)/$H$26,0)&lt;=ROUND($T43/$H$26,0)),ROUND((AC$7-ROUND(SUM($T$37:$T42)/$H$26,0))*AC$9/30,0),IF(AC$7-ROUND(SUM($T$37:$T42)/$H$26,0)&gt;ROUND($T43/$H$26,0),ROUND(AC$9/30*ROUND($T43/$H$26,0),0)))&lt;=AC$10+IF(AND($R43&gt;=AC$15,AC$15&gt;0),AC$18,0),IF(AND(AC$7-ROUND(SUM($T$37:$T42)/$H$26,0)&gt;0,AC$7-ROUND(SUM($T$37:$T42)/$H$26,0)&lt;=ROUND($T43/$H$26,0)),ROUND((AC$7-ROUND(SUM($T$37:$T42)/$H$26,0))*AC$9/30,0),IF(AC$7-ROUND(SUM($T$37:$T42)/$H$26,0)&gt;ROUND($T43/$H$26,0),ROUND(AC$9/30*ROUND($T43/$H$26,0),0))), AC$10+ IF(AND($R43&gt;=AC$15,AC$15&gt;0),AC$18,0)-SUM(Z$37:Z42)),0)+IF(OR(AND($R43&lt;=DATE($Y$6+1,4,15),AC$15&lt;=DATE($Y$6+1,4,15),AC$15&gt;0,AC$7-ROUND(SUM($T$37:$T42)/$H$26,0)&gt;=ROUND($T43/$H$26,0)), AC$15&gt;$R43),0,IF(AND($R43&lt;=DATE($Y$6+1,4,15),AC$15&lt;=DATE($Y$6+1,4,15),AC$15&gt;0,AC$7-ROUND(SUM($T$37:$T42)/$H$26,0)&gt;0,AC$7-ROUND(SUM($T$37:$T42)/$H$26,0)&lt;ROUND($T43/$H$26,0)),(ROUND($T43/$H$26,0)-(AC$7-ROUND(SUM($T$37:$T42)/$H$26,0)))*ROUND(AC$16/30,0),IF(AND($R43&gt;=AC$15,AC$15&gt;0,$R43&lt;=DATE($Y$12+1,4,15)),IF(SUM(Z$37:Z42)+ROUND(IF(YEAR($R43)=$Y$12,AC$16,IF(YEAR($R43)=$Y$12+1,AC$17,0))/30*ROUND($T43/$H$26,0),0)&lt;=AC$10+IF(AND($R43&gt;=AC$15,AC$15&gt;0),AC$18,0),ROUND(IF(YEAR($R43)=$Y$12,AC$16,IF(YEAR($R43)=$Y$12+1,AC$17,0))/30*ROUND($T43/$H$26,0),0),AC$10+AC$18-SUM(Z$37:Z42)),0)))))</f>
        <v>0</v>
      </c>
      <c r="AA43" s="97" t="str">
        <f t="shared" si="11"/>
        <v>No</v>
      </c>
      <c r="AB43" s="10">
        <f t="shared" si="12"/>
        <v>0</v>
      </c>
      <c r="AC43" s="19"/>
      <c r="AD43" s="10">
        <f t="shared" si="13"/>
        <v>0</v>
      </c>
      <c r="AE43" s="10">
        <f t="shared" si="14"/>
        <v>0</v>
      </c>
      <c r="AF43" s="10">
        <f t="shared" si="15"/>
        <v>0</v>
      </c>
      <c r="AG43" s="10">
        <f t="shared" si="16"/>
        <v>0</v>
      </c>
      <c r="AH43" s="10">
        <f t="shared" si="17"/>
        <v>0</v>
      </c>
      <c r="AI43" s="10">
        <f t="shared" si="18"/>
        <v>0</v>
      </c>
      <c r="AJ43" s="2">
        <f t="shared" si="19"/>
        <v>0</v>
      </c>
      <c r="AK43" s="3">
        <f t="shared" si="20"/>
        <v>0</v>
      </c>
      <c r="AL43" s="10">
        <f t="shared" si="21"/>
        <v>0</v>
      </c>
      <c r="AM43" s="10">
        <f t="shared" si="22"/>
        <v>0</v>
      </c>
      <c r="AN43" s="20"/>
      <c r="AO43" s="10">
        <f t="shared" si="23"/>
        <v>0</v>
      </c>
      <c r="AP43" s="11">
        <f t="shared" si="24"/>
        <v>0</v>
      </c>
      <c r="AQ43" s="10">
        <f t="shared" si="25"/>
        <v>0</v>
      </c>
      <c r="AR43" s="10">
        <f t="shared" si="26"/>
        <v>0</v>
      </c>
      <c r="AS43" s="10">
        <f t="shared" si="27"/>
        <v>0</v>
      </c>
      <c r="AT43" s="10">
        <f t="shared" si="28"/>
        <v>0</v>
      </c>
      <c r="AU43" s="10">
        <f t="shared" si="38"/>
        <v>0</v>
      </c>
      <c r="AV43" s="10">
        <f t="shared" si="29"/>
        <v>0</v>
      </c>
      <c r="AW43" s="2">
        <f t="shared" si="30"/>
        <v>0</v>
      </c>
      <c r="AX43" s="3">
        <f t="shared" si="39"/>
        <v>0</v>
      </c>
      <c r="AY43" s="10">
        <f t="shared" si="31"/>
        <v>0</v>
      </c>
      <c r="AZ43" s="19"/>
      <c r="BA43" s="19"/>
      <c r="BB43" s="19"/>
      <c r="BC43" s="19"/>
      <c r="BD43" s="10">
        <f t="shared" si="32"/>
        <v>0</v>
      </c>
      <c r="BE43" s="3">
        <f t="shared" si="33"/>
        <v>0</v>
      </c>
      <c r="BF43" s="3">
        <f t="shared" si="34"/>
        <v>0</v>
      </c>
      <c r="BG43" s="4">
        <f t="shared" si="35"/>
        <v>0</v>
      </c>
      <c r="BH43" s="68"/>
      <c r="BI43" s="115"/>
      <c r="BJ43" s="115"/>
      <c r="BK43" s="122"/>
      <c r="BL43" s="115"/>
      <c r="BM43" s="115"/>
      <c r="BN43" s="122"/>
      <c r="BO43" s="115"/>
      <c r="BP43" s="115"/>
      <c r="BQ43" s="122"/>
      <c r="BR43" s="115"/>
      <c r="BT43" s="90" t="s">
        <v>108</v>
      </c>
      <c r="BU43" s="91" t="s">
        <v>168</v>
      </c>
      <c r="BV43" s="112"/>
      <c r="BW43" s="113"/>
    </row>
    <row r="44" spans="1:75" ht="12.75" customHeight="1" x14ac:dyDescent="0.2">
      <c r="A44" s="48">
        <v>7</v>
      </c>
      <c r="B44" s="13">
        <f t="shared" si="36"/>
        <v>46234</v>
      </c>
      <c r="C44" s="98">
        <f>IF(OR($H$19=0,$H$20=0),0,IF(AND($H$19&gt;=EOMONTH($B44,-1)+1,$H$20&lt;=$B44),$H$25,IF(AND(EOMONTH($B44,-1)+1&gt;EOMONTH($H$19,0),$B44&lt;=EOMONTH($H$20,-1)),30-IF(OR($H$21=0,$H$22=0),0,IF(AND($B44=EOMONTH($H$21,0),$H$22&gt;$B44,$B44&gt;EOMONTH($H$19,0)),DAYS360($H$21,EOMONTH($H$21,0)+1),IF(AND($B44=EOMONTH($H$22,0),$B44&lt;$H$20,$H$21&lt;EOMONTH($B44,-1)+1),DAYS360(EOMONTH($H$22,-1)+1,$H$22+1),IF(AND(EOMONTH($B44,-1)+1&gt;EOMONTH($H$21,0),$B44&lt;=EOMONTH($H$22,-1)),30,IF(AND($B44=EOMONTH($H$21,0),$B44=EOMONTH($H$22,0)),$H$24,0))))),IF(AND($B44=EOMONTH($H$19,0),$B44&lt;$H$20),EOMONTH($H$19,0)-$H$19+IF(AND(MONTH($H$19)=2, DAY($H$19)=1,DAY(EOMONTH($H$19,0))=28),3,IF(AND(MONTH($H$19)=2, DAY($H$19)=1,DAY(EOMONTH($H$19,0))=29),2,IF(AND(DAY(EOMONTH($H$19,0))=31,DAY($H$19)=1),0,1)))-IF(AND($B44=EOMONTH($H$21,0),$H$22&gt;$B44,$H$20&gt;$B44),DAYS360($H$21,EOMONTH($H$21,0)+1),IF(AND($B44=EOMONTH($H$21,0),$B44=EOMONTH($H$22,0)),$H$24,0)),IF(AND($B44=EOMONTH($H$20,0)),$H$25-SUM($C$37:$C43),0)))))</f>
        <v>0</v>
      </c>
      <c r="D44" s="134"/>
      <c r="E44" s="144">
        <f>ROUND(IF(OR($H$19=0,$H$20=0),0,IF(AND($B44=EOMONTH($H$20,0)),$H$27-SUM($E$37:$E43),IF($C44=30,$H$18,IF($C44=31,$H$18+$H$26,$H$26*$C44)))),0)</f>
        <v>0</v>
      </c>
      <c r="F44" s="108">
        <f t="shared" si="1"/>
        <v>0</v>
      </c>
      <c r="G44" s="71">
        <f t="shared" si="37"/>
        <v>0</v>
      </c>
      <c r="H44" s="109">
        <f t="shared" si="2"/>
        <v>0</v>
      </c>
      <c r="I44" s="3">
        <f t="shared" si="3"/>
        <v>0</v>
      </c>
      <c r="J44" s="109">
        <f t="shared" si="4"/>
        <v>0</v>
      </c>
      <c r="K44" s="120"/>
      <c r="L44" s="109">
        <f t="shared" si="5"/>
        <v>0</v>
      </c>
      <c r="M44" s="10">
        <f t="shared" si="6"/>
        <v>0</v>
      </c>
      <c r="N44" s="133"/>
      <c r="O44" s="133"/>
      <c r="P44" s="18"/>
      <c r="Q44" s="31"/>
      <c r="R44" s="61"/>
      <c r="S44" s="1" t="str">
        <f>IF(OR($R44&lt;&gt;0,$T44&lt;&gt;0),1+MAX(S$37:S43),"")</f>
        <v/>
      </c>
      <c r="T44" s="115"/>
      <c r="U44" s="11">
        <f t="shared" si="7"/>
        <v>0</v>
      </c>
      <c r="V44" s="11">
        <f t="shared" si="8"/>
        <v>0</v>
      </c>
      <c r="W44" s="11">
        <f t="shared" si="9"/>
        <v>0</v>
      </c>
      <c r="X44" s="10">
        <f t="shared" si="10"/>
        <v>0</v>
      </c>
      <c r="Y44" s="10">
        <f>IF(OR($H$18=0,$T44=0),0,IF(IF(AND(AB$8&lt;=$R44,$R44&lt;=DATE($Y$6+1,4,15)),IF(SUM(Y$37:Y43)+IF(AND(AB$7-ROUND(SUM($T$37:$T43)/$H$26,0)&gt;0,AB$7-ROUND(SUM($T$37:$T43)/$H$26,0)&lt;=ROUND($T44/$H$26,0)),ROUND((AB$7-ROUND(SUM($T$37:$T43)/$H$26,0))*AB$9/30,0),IF(AB$7-ROUND(SUM($T$37:$T43)/$H$26,0)&gt;ROUND($T44/$H$26,0),ROUND(AB$9/30*ROUND($T44/$H$26,0),0)))&lt;=AB$10+IF(AND($R44&gt;=AB$15,AB$15&gt;0),AB$18,0),IF(AND(AB$7-ROUND(SUM($T$37:$T43)/$H$26,0)&gt;0,AB$7-ROUND(SUM($T$37:$T43)/$H$26,0)&lt;=ROUND($T44/$H$26,0)),ROUND((AB$7-ROUND(SUM($T$37:$T43)/$H$26,0))*AB$9/30,0),IF(AB$7-ROUND(SUM($T$37:$T43)/$H$26,0)&gt;ROUND($T44/$H$26,0),ROUND(AB$9/30*ROUND($T44/$H$26,0),0))), AB$10+ IF(AND($R44&gt;=AB$15,AB$15&gt;0),AB$18,0)-SUM(Y$37:Y43)),0)+IF(OR(AND($R44&lt;=DATE($Y$6+1,4,15),AB$15&lt;=DATE($Y$6+1,4,15),AB$15&gt;0,AB$7-ROUND(SUM($T$37:$T43)/$H$26,0)&gt;=ROUND($T44/$H$26,0)), AB$15&gt;$R44),0,IF(AND($R44&lt;=DATE($Y$6+1,4,15),AB$15&lt;=DATE($Y$6+1,4,15),AB$15&gt;0,AB$7-ROUND(SUM($T$37:$T43)/$H$26,0)&gt;0,AB$7-ROUND(SUM($T$37:$T43)/$H$26,0)&lt;ROUND($T44/$H$26,0)),(ROUND($T44/$H$26,0)-(AB$7-ROUND(SUM($T$37:$T43)/$H$26,0)))*ROUND(AB$16/30,0),IF(AND($R44&gt;=AB$15,AB$15&gt;0,$R44&lt;=DATE($Y$12+1,4,15)),IF(SUM(Y$37:Y43)+ROUND(IF(YEAR($R44)=$Y$12,AB$16,IF(YEAR($R44)=$Y$12+1,AB$17,0))/30*ROUND($T44/$H$26,0),0)&lt;=AB$10+IF(AND($R44&gt;=AB$15,AB$15&gt;0),AB$18,0),ROUND(IF(YEAR($R44)=$Y$12,AB$16,IF(YEAR($R44)=$Y$12+1,AB$17,0))/30*ROUND($T44/$H$26,0),0),AB$10+AB$18-SUM(Y$37:Y43)),0)))&gt;ROUND(ROUND(100*INDEX($AT$5:$AT$7,MATCH(YEAR($R44),$AS$5:$AS$7,0),1)-1,-3)/30*ROUND($T44/$H$26,0),0),ROUND(ROUND(100*INDEX($AT$5:$AT$7,MATCH(YEAR($R44),$AS$5:$AS$7,0),1)-1,-3)/30*ROUND($T44/$H$26,0),0), IF(AND(AB$8&lt;=$R44,$R44&lt;=DATE($Y$6+1,4,15)),IF(SUM(Y$37:Y43)+IF(AND(AB$7-ROUND(SUM($T$37:$T43)/$H$26,0)&gt;0,AB$7-ROUND(SUM($T$37:$T43)/$H$26,0)&lt;=ROUND($T44/$H$26,0)),ROUND((AB$7-ROUND(SUM($T$37:$T43)/$H$26,0))*AB$9/30,0),IF(AB$7-ROUND(SUM($T$37:$T43)/$H$26,0)&gt;ROUND($T44/$H$26,0),ROUND(AB$9/30*ROUND($T44/$H$26,0),0)))&lt;=AB$10+IF(AND($R44&gt;=AB$15,AB$15&gt;0),AB$18,0),IF(AND(AB$7-ROUND(SUM($T$37:$T43)/$H$26,0)&gt;0,AB$7-ROUND(SUM($T$37:$T43)/$H$26,0)&lt;=ROUND($T44/$H$26,0)),ROUND((AB$7-ROUND(SUM($T$37:$T43)/$H$26,0))*AB$9/30,0),IF(AB$7-ROUND(SUM($T$37:$T43)/$H$26,0)&gt;ROUND($T44/$H$26,0),ROUND(AB$9/30*ROUND($T44/$H$26,0),0))), AB$10+ IF(AND($R44&gt;=AB$15,AB$15&gt;0),AB$18,0)-SUM(Y$37:Y43)),0)+IF(OR(AND($R44&lt;=DATE($Y$6+1,4,15),AB$15&lt;=DATE($Y$6+1,4,15),AB$15&gt;0,AB$7-ROUND(SUM($T$37:$T43)/$H$26,0)&gt;=ROUND($T44/$H$26,0)), AB$15&gt;$R44),0,IF(AND($R44&lt;=DATE($Y$6+1,4,15),AB$15&lt;=DATE($Y$6+1,4,15),AB$15&gt;0,AB$7-ROUND(SUM($T$37:$T43)/$H$26,0)&gt;0,AB$7-ROUND(SUM($T$37:$T43)/$H$26,0)&lt;ROUND($T44/$H$26,0)),(ROUND($T44/$H$26,0)-(AB$7-ROUND(SUM($T$37:$T43)/$H$26,0)))*ROUND(AB$16/30,0),IF(AND($R44&gt;=AB$15,AB$15&gt;0,$R44&lt;=DATE($Y$12+1,4,15)),IF(SUM(Y$37:Y43)+ROUND(IF(YEAR($R44)=$Y$12,AB$16,IF(YEAR($R44)=$Y$12+1,AB$17,0))/30*ROUND($T44/$H$26,0),0)&lt;=AB$10+IF(AND($R44&gt;=AB$15,AB$15&gt;0),AB$18,0),ROUND(IF(YEAR($R44)=$Y$12,AB$16,IF(YEAR($R44)=$Y$12+1,AB$17,0))/30*ROUND($T44/$H$26,0),0),AB$10+AB$18-SUM(Y$37:Y43)),0)))))</f>
        <v>0</v>
      </c>
      <c r="Z44" s="10">
        <f>IF(OR($H$18=0,$T44=0),0,IF(IF(AND(AC$8&lt;=$R44,$R44&lt;=DATE($Y$6+1,4,15)),IF(SUM(Z$37:Z43)+IF(AND(AC$7-ROUND(SUM($T$37:$T43)/$H$26,0)&gt;0,AC$7-ROUND(SUM($T$37:$T43)/$H$26,0)&lt;=ROUND($T44/$H$26,0)),ROUND((AC$7-ROUND(SUM($T$37:$T43)/$H$26,0))*AC$9/30,0),IF(AC$7-ROUND(SUM($T$37:$T43)/$H$26,0)&gt;ROUND($T44/$H$26,0),ROUND(AC$9/30*ROUND($T44/$H$26,0),0)))&lt;=AC$10+IF(AND($R44&gt;=AC$15,AC$15&gt;0),AC$18,0),IF(AND(AC$7-ROUND(SUM($T$37:$T43)/$H$26,0)&gt;0,AC$7-ROUND(SUM($T$37:$T43)/$H$26,0)&lt;=ROUND($T44/$H$26,0)),ROUND((AC$7-ROUND(SUM($T$37:$T43)/$H$26,0))*AC$9/30,0),IF(AC$7-ROUND(SUM($T$37:$T43)/$H$26,0)&gt;ROUND($T44/$H$26,0),ROUND(AC$9/30*ROUND($T44/$H$26,0),0))), AC$10+ IF(AND($R44&gt;=AC$15,AC$15&gt;0),AC$18,0)-SUM(Z$37:Z43)),0)+IF(OR(AND($R44&lt;=DATE($Y$6+1,4,15),AC$15&lt;=DATE($Y$6+1,4,15),AC$15&gt;0,AC$7-ROUND(SUM($T$37:$T43)/$H$26,0)&gt;=ROUND($T44/$H$26,0)), AC$15&gt;$R44),0,IF(AND($R44&lt;=DATE($Y$6+1,4,15),AC$15&lt;=DATE($Y$6+1,4,15),AC$15&gt;0,AC$7-ROUND(SUM($T$37:$T43)/$H$26,0)&gt;0,AC$7-ROUND(SUM($T$37:$T43)/$H$26,0)&lt;ROUND($T44/$H$26,0)),(ROUND($T44/$H$26,0)-(AC$7-ROUND(SUM($T$37:$T43)/$H$26,0)))*ROUND(AC$16/30,0),IF(AND($R44&gt;=AC$15,AC$15&gt;0,$R44&lt;=DATE($Y$12+1,4,15)),IF(SUM(Z$37:Z43)+ROUND(IF(YEAR($R44)=$Y$12,AC$16,IF(YEAR($R44)=$Y$12+1,AC$17,0))/30*ROUND($T44/$H$26,0),0)&lt;=AC$10+IF(AND($R44&gt;=AC$15,AC$15&gt;0),AC$18,0),ROUND(IF(YEAR($R44)=$Y$12,AC$16,IF(YEAR($R44)=$Y$12+1,AC$17,0))/30*ROUND($T44/$H$26,0),0),AC$10+AC$18-SUM(Z$37:Z43)),0)))&gt;ROUND(ROUND(16*INDEX($AT$5:$AT$7,MATCH(YEAR($R44),$AS$5:$AS$7,0),1)-1,-3)/30*ROUND($T44/$H$26,0),0),ROUND(ROUND(16*INDEX($AT$5:$AT$7,MATCH(YEAR($R44),$AS$5:$AS$7,0),1)-1,-3)/30*ROUND($T44/$H$26,0),0), IF(AND(AC$8&lt;=$R44,$R44&lt;=DATE($Y$6+1,4,15)),IF(SUM(Z$37:Z43)+IF(AND(AC$7-ROUND(SUM($T$37:$T43)/$H$26,0)&gt;0,AC$7-ROUND(SUM($T$37:$T43)/$H$26,0)&lt;=ROUND($T44/$H$26,0)),ROUND((AC$7-ROUND(SUM($T$37:$T43)/$H$26,0))*AC$9/30,0),IF(AC$7-ROUND(SUM($T$37:$T43)/$H$26,0)&gt;ROUND($T44/$H$26,0),ROUND(AC$9/30*ROUND($T44/$H$26,0),0)))&lt;=AC$10+IF(AND($R44&gt;=AC$15,AC$15&gt;0),AC$18,0),IF(AND(AC$7-ROUND(SUM($T$37:$T43)/$H$26,0)&gt;0,AC$7-ROUND(SUM($T$37:$T43)/$H$26,0)&lt;=ROUND($T44/$H$26,0)),ROUND((AC$7-ROUND(SUM($T$37:$T43)/$H$26,0))*AC$9/30,0),IF(AC$7-ROUND(SUM($T$37:$T43)/$H$26,0)&gt;ROUND($T44/$H$26,0),ROUND(AC$9/30*ROUND($T44/$H$26,0),0))), AC$10+ IF(AND($R44&gt;=AC$15,AC$15&gt;0),AC$18,0)-SUM(Z$37:Z43)),0)+IF(OR(AND($R44&lt;=DATE($Y$6+1,4,15),AC$15&lt;=DATE($Y$6+1,4,15),AC$15&gt;0,AC$7-ROUND(SUM($T$37:$T43)/$H$26,0)&gt;=ROUND($T44/$H$26,0)), AC$15&gt;$R44),0,IF(AND($R44&lt;=DATE($Y$6+1,4,15),AC$15&lt;=DATE($Y$6+1,4,15),AC$15&gt;0,AC$7-ROUND(SUM($T$37:$T43)/$H$26,0)&gt;0,AC$7-ROUND(SUM($T$37:$T43)/$H$26,0)&lt;ROUND($T44/$H$26,0)),(ROUND($T44/$H$26,0)-(AC$7-ROUND(SUM($T$37:$T43)/$H$26,0)))*ROUND(AC$16/30,0),IF(AND($R44&gt;=AC$15,AC$15&gt;0,$R44&lt;=DATE($Y$12+1,4,15)),IF(SUM(Z$37:Z43)+ROUND(IF(YEAR($R44)=$Y$12,AC$16,IF(YEAR($R44)=$Y$12+1,AC$17,0))/30*ROUND($T44/$H$26,0),0)&lt;=AC$10+IF(AND($R44&gt;=AC$15,AC$15&gt;0),AC$18,0),ROUND(IF(YEAR($R44)=$Y$12,AC$16,IF(YEAR($R44)=$Y$12+1,AC$17,0))/30*ROUND($T44/$H$26,0),0),AC$10+AC$18-SUM(Z$37:Z43)),0)))))</f>
        <v>0</v>
      </c>
      <c r="AA44" s="97" t="str">
        <f t="shared" si="11"/>
        <v>No</v>
      </c>
      <c r="AB44" s="10">
        <f t="shared" si="12"/>
        <v>0</v>
      </c>
      <c r="AC44" s="19"/>
      <c r="AD44" s="10">
        <f t="shared" si="13"/>
        <v>0</v>
      </c>
      <c r="AE44" s="10">
        <f t="shared" si="14"/>
        <v>0</v>
      </c>
      <c r="AF44" s="10">
        <f t="shared" si="15"/>
        <v>0</v>
      </c>
      <c r="AG44" s="10">
        <f t="shared" si="16"/>
        <v>0</v>
      </c>
      <c r="AH44" s="10">
        <f t="shared" si="17"/>
        <v>0</v>
      </c>
      <c r="AI44" s="10">
        <f t="shared" si="18"/>
        <v>0</v>
      </c>
      <c r="AJ44" s="2">
        <f t="shared" si="19"/>
        <v>0</v>
      </c>
      <c r="AK44" s="3">
        <f t="shared" si="20"/>
        <v>0</v>
      </c>
      <c r="AL44" s="10">
        <f t="shared" si="21"/>
        <v>0</v>
      </c>
      <c r="AM44" s="10">
        <f t="shared" si="22"/>
        <v>0</v>
      </c>
      <c r="AN44" s="20"/>
      <c r="AO44" s="10">
        <f t="shared" si="23"/>
        <v>0</v>
      </c>
      <c r="AP44" s="11">
        <f t="shared" si="24"/>
        <v>0</v>
      </c>
      <c r="AQ44" s="10">
        <f t="shared" si="25"/>
        <v>0</v>
      </c>
      <c r="AR44" s="10">
        <f t="shared" si="26"/>
        <v>0</v>
      </c>
      <c r="AS44" s="10">
        <f t="shared" si="27"/>
        <v>0</v>
      </c>
      <c r="AT44" s="10">
        <f t="shared" si="28"/>
        <v>0</v>
      </c>
      <c r="AU44" s="10">
        <f t="shared" si="38"/>
        <v>0</v>
      </c>
      <c r="AV44" s="10">
        <f t="shared" si="29"/>
        <v>0</v>
      </c>
      <c r="AW44" s="2">
        <f t="shared" si="30"/>
        <v>0</v>
      </c>
      <c r="AX44" s="3">
        <f t="shared" si="39"/>
        <v>0</v>
      </c>
      <c r="AY44" s="10">
        <f t="shared" si="31"/>
        <v>0</v>
      </c>
      <c r="AZ44" s="19"/>
      <c r="BA44" s="19"/>
      <c r="BB44" s="19"/>
      <c r="BC44" s="19"/>
      <c r="BD44" s="10">
        <f t="shared" si="32"/>
        <v>0</v>
      </c>
      <c r="BE44" s="3">
        <f t="shared" si="33"/>
        <v>0</v>
      </c>
      <c r="BF44" s="3">
        <f t="shared" si="34"/>
        <v>0</v>
      </c>
      <c r="BG44" s="4">
        <f t="shared" si="35"/>
        <v>0</v>
      </c>
      <c r="BH44" s="68"/>
      <c r="BI44" s="115"/>
      <c r="BJ44" s="115"/>
      <c r="BK44" s="122"/>
      <c r="BL44" s="115"/>
      <c r="BM44" s="115"/>
      <c r="BN44" s="122"/>
      <c r="BO44" s="115"/>
      <c r="BP44" s="115"/>
      <c r="BQ44" s="122"/>
      <c r="BR44" s="115"/>
      <c r="BT44" s="90" t="s">
        <v>108</v>
      </c>
      <c r="BU44" s="91" t="s">
        <v>169</v>
      </c>
      <c r="BV44" s="112"/>
      <c r="BW44" s="113"/>
    </row>
    <row r="45" spans="1:75" ht="12.75" customHeight="1" x14ac:dyDescent="0.2">
      <c r="A45" s="48">
        <v>8</v>
      </c>
      <c r="B45" s="13">
        <f t="shared" si="36"/>
        <v>46265</v>
      </c>
      <c r="C45" s="98">
        <f>IF(OR($H$19=0,$H$20=0),0,IF(AND($H$19&gt;=EOMONTH($B45,-1)+1,$H$20&lt;=$B45),$H$25,IF(AND(EOMONTH($B45,-1)+1&gt;EOMONTH($H$19,0),$B45&lt;=EOMONTH($H$20,-1)),30-IF(OR($H$21=0,$H$22=0),0,IF(AND($B45=EOMONTH($H$21,0),$H$22&gt;$B45,$B45&gt;EOMONTH($H$19,0)),DAYS360($H$21,EOMONTH($H$21,0)+1),IF(AND($B45=EOMONTH($H$22,0),$B45&lt;$H$20,$H$21&lt;EOMONTH($B45,-1)+1),DAYS360(EOMONTH($H$22,-1)+1,$H$22+1),IF(AND(EOMONTH($B45,-1)+1&gt;EOMONTH($H$21,0),$B45&lt;=EOMONTH($H$22,-1)),30,IF(AND($B45=EOMONTH($H$21,0),$B45=EOMONTH($H$22,0)),$H$24,0))))),IF(AND($B45=EOMONTH($H$19,0),$B45&lt;$H$20),EOMONTH($H$19,0)-$H$19+IF(AND(MONTH($H$19)=2, DAY($H$19)=1,DAY(EOMONTH($H$19,0))=28),3,IF(AND(MONTH($H$19)=2, DAY($H$19)=1,DAY(EOMONTH($H$19,0))=29),2,IF(AND(DAY(EOMONTH($H$19,0))=31,DAY($H$19)=1),0,1)))-IF(AND($B45=EOMONTH($H$21,0),$H$22&gt;$B45,$H$20&gt;$B45),DAYS360($H$21,EOMONTH($H$21,0)+1),IF(AND($B45=EOMONTH($H$21,0),$B45=EOMONTH($H$22,0)),$H$24,0)),IF(AND($B45=EOMONTH($H$20,0)),$H$25-SUM($C$37:$C44),0)))))</f>
        <v>0</v>
      </c>
      <c r="D45" s="134"/>
      <c r="E45" s="144">
        <f>ROUND(IF(OR($H$19=0,$H$20=0),0,IF(AND($B45=EOMONTH($H$20,0)),$H$27-SUM($E$37:$E44),IF($C45=30,$H$18,IF($C45=31,$H$18+$H$26,$H$26*$C45)))),0)</f>
        <v>0</v>
      </c>
      <c r="F45" s="108">
        <f t="shared" si="1"/>
        <v>0</v>
      </c>
      <c r="G45" s="71">
        <f t="shared" si="37"/>
        <v>0</v>
      </c>
      <c r="H45" s="109">
        <f t="shared" si="2"/>
        <v>0</v>
      </c>
      <c r="I45" s="3">
        <f t="shared" si="3"/>
        <v>0</v>
      </c>
      <c r="J45" s="109">
        <f t="shared" si="4"/>
        <v>0</v>
      </c>
      <c r="K45" s="120"/>
      <c r="L45" s="109">
        <f t="shared" si="5"/>
        <v>0</v>
      </c>
      <c r="M45" s="10">
        <f t="shared" si="6"/>
        <v>0</v>
      </c>
      <c r="N45" s="133"/>
      <c r="O45" s="133"/>
      <c r="P45" s="18"/>
      <c r="Q45" s="31"/>
      <c r="R45" s="61"/>
      <c r="S45" s="1" t="str">
        <f>IF(OR($R45&lt;&gt;0,$T45&lt;&gt;0),1+MAX(S$37:S44),"")</f>
        <v/>
      </c>
      <c r="T45" s="115"/>
      <c r="U45" s="11">
        <f t="shared" si="7"/>
        <v>0</v>
      </c>
      <c r="V45" s="11">
        <f t="shared" si="8"/>
        <v>0</v>
      </c>
      <c r="W45" s="11">
        <f t="shared" si="9"/>
        <v>0</v>
      </c>
      <c r="X45" s="10">
        <f t="shared" si="10"/>
        <v>0</v>
      </c>
      <c r="Y45" s="10">
        <f>IF(OR($H$18=0,$T45=0),0,IF(IF(AND(AB$8&lt;=$R45,$R45&lt;=DATE($Y$6+1,4,15)),IF(SUM(Y$37:Y44)+IF(AND(AB$7-ROUND(SUM($T$37:$T44)/$H$26,0)&gt;0,AB$7-ROUND(SUM($T$37:$T44)/$H$26,0)&lt;=ROUND($T45/$H$26,0)),ROUND((AB$7-ROUND(SUM($T$37:$T44)/$H$26,0))*AB$9/30,0),IF(AB$7-ROUND(SUM($T$37:$T44)/$H$26,0)&gt;ROUND($T45/$H$26,0),ROUND(AB$9/30*ROUND($T45/$H$26,0),0)))&lt;=AB$10+IF(AND($R45&gt;=AB$15,AB$15&gt;0),AB$18,0),IF(AND(AB$7-ROUND(SUM($T$37:$T44)/$H$26,0)&gt;0,AB$7-ROUND(SUM($T$37:$T44)/$H$26,0)&lt;=ROUND($T45/$H$26,0)),ROUND((AB$7-ROUND(SUM($T$37:$T44)/$H$26,0))*AB$9/30,0),IF(AB$7-ROUND(SUM($T$37:$T44)/$H$26,0)&gt;ROUND($T45/$H$26,0),ROUND(AB$9/30*ROUND($T45/$H$26,0),0))), AB$10+ IF(AND($R45&gt;=AB$15,AB$15&gt;0),AB$18,0)-SUM(Y$37:Y44)),0)+IF(OR(AND($R45&lt;=DATE($Y$6+1,4,15),AB$15&lt;=DATE($Y$6+1,4,15),AB$15&gt;0,AB$7-ROUND(SUM($T$37:$T44)/$H$26,0)&gt;=ROUND($T45/$H$26,0)), AB$15&gt;$R45),0,IF(AND($R45&lt;=DATE($Y$6+1,4,15),AB$15&lt;=DATE($Y$6+1,4,15),AB$15&gt;0,AB$7-ROUND(SUM($T$37:$T44)/$H$26,0)&gt;0,AB$7-ROUND(SUM($T$37:$T44)/$H$26,0)&lt;ROUND($T45/$H$26,0)),(ROUND($T45/$H$26,0)-(AB$7-ROUND(SUM($T$37:$T44)/$H$26,0)))*ROUND(AB$16/30,0),IF(AND($R45&gt;=AB$15,AB$15&gt;0,$R45&lt;=DATE($Y$12+1,4,15)),IF(SUM(Y$37:Y44)+ROUND(IF(YEAR($R45)=$Y$12,AB$16,IF(YEAR($R45)=$Y$12+1,AB$17,0))/30*ROUND($T45/$H$26,0),0)&lt;=AB$10+IF(AND($R45&gt;=AB$15,AB$15&gt;0),AB$18,0),ROUND(IF(YEAR($R45)=$Y$12,AB$16,IF(YEAR($R45)=$Y$12+1,AB$17,0))/30*ROUND($T45/$H$26,0),0),AB$10+AB$18-SUM(Y$37:Y44)),0)))&gt;ROUND(ROUND(100*INDEX($AT$5:$AT$7,MATCH(YEAR($R45),$AS$5:$AS$7,0),1)-1,-3)/30*ROUND($T45/$H$26,0),0),ROUND(ROUND(100*INDEX($AT$5:$AT$7,MATCH(YEAR($R45),$AS$5:$AS$7,0),1)-1,-3)/30*ROUND($T45/$H$26,0),0), IF(AND(AB$8&lt;=$R45,$R45&lt;=DATE($Y$6+1,4,15)),IF(SUM(Y$37:Y44)+IF(AND(AB$7-ROUND(SUM($T$37:$T44)/$H$26,0)&gt;0,AB$7-ROUND(SUM($T$37:$T44)/$H$26,0)&lt;=ROUND($T45/$H$26,0)),ROUND((AB$7-ROUND(SUM($T$37:$T44)/$H$26,0))*AB$9/30,0),IF(AB$7-ROUND(SUM($T$37:$T44)/$H$26,0)&gt;ROUND($T45/$H$26,0),ROUND(AB$9/30*ROUND($T45/$H$26,0),0)))&lt;=AB$10+IF(AND($R45&gt;=AB$15,AB$15&gt;0),AB$18,0),IF(AND(AB$7-ROUND(SUM($T$37:$T44)/$H$26,0)&gt;0,AB$7-ROUND(SUM($T$37:$T44)/$H$26,0)&lt;=ROUND($T45/$H$26,0)),ROUND((AB$7-ROUND(SUM($T$37:$T44)/$H$26,0))*AB$9/30,0),IF(AB$7-ROUND(SUM($T$37:$T44)/$H$26,0)&gt;ROUND($T45/$H$26,0),ROUND(AB$9/30*ROUND($T45/$H$26,0),0))), AB$10+ IF(AND($R45&gt;=AB$15,AB$15&gt;0),AB$18,0)-SUM(Y$37:Y44)),0)+IF(OR(AND($R45&lt;=DATE($Y$6+1,4,15),AB$15&lt;=DATE($Y$6+1,4,15),AB$15&gt;0,AB$7-ROUND(SUM($T$37:$T44)/$H$26,0)&gt;=ROUND($T45/$H$26,0)), AB$15&gt;$R45),0,IF(AND($R45&lt;=DATE($Y$6+1,4,15),AB$15&lt;=DATE($Y$6+1,4,15),AB$15&gt;0,AB$7-ROUND(SUM($T$37:$T44)/$H$26,0)&gt;0,AB$7-ROUND(SUM($T$37:$T44)/$H$26,0)&lt;ROUND($T45/$H$26,0)),(ROUND($T45/$H$26,0)-(AB$7-ROUND(SUM($T$37:$T44)/$H$26,0)))*ROUND(AB$16/30,0),IF(AND($R45&gt;=AB$15,AB$15&gt;0,$R45&lt;=DATE($Y$12+1,4,15)),IF(SUM(Y$37:Y44)+ROUND(IF(YEAR($R45)=$Y$12,AB$16,IF(YEAR($R45)=$Y$12+1,AB$17,0))/30*ROUND($T45/$H$26,0),0)&lt;=AB$10+IF(AND($R45&gt;=AB$15,AB$15&gt;0),AB$18,0),ROUND(IF(YEAR($R45)=$Y$12,AB$16,IF(YEAR($R45)=$Y$12+1,AB$17,0))/30*ROUND($T45/$H$26,0),0),AB$10+AB$18-SUM(Y$37:Y44)),0)))))</f>
        <v>0</v>
      </c>
      <c r="Z45" s="10">
        <f>IF(OR($H$18=0,$T45=0),0,IF(IF(AND(AC$8&lt;=$R45,$R45&lt;=DATE($Y$6+1,4,15)),IF(SUM(Z$37:Z44)+IF(AND(AC$7-ROUND(SUM($T$37:$T44)/$H$26,0)&gt;0,AC$7-ROUND(SUM($T$37:$T44)/$H$26,0)&lt;=ROUND($T45/$H$26,0)),ROUND((AC$7-ROUND(SUM($T$37:$T44)/$H$26,0))*AC$9/30,0),IF(AC$7-ROUND(SUM($T$37:$T44)/$H$26,0)&gt;ROUND($T45/$H$26,0),ROUND(AC$9/30*ROUND($T45/$H$26,0),0)))&lt;=AC$10+IF(AND($R45&gt;=AC$15,AC$15&gt;0),AC$18,0),IF(AND(AC$7-ROUND(SUM($T$37:$T44)/$H$26,0)&gt;0,AC$7-ROUND(SUM($T$37:$T44)/$H$26,0)&lt;=ROUND($T45/$H$26,0)),ROUND((AC$7-ROUND(SUM($T$37:$T44)/$H$26,0))*AC$9/30,0),IF(AC$7-ROUND(SUM($T$37:$T44)/$H$26,0)&gt;ROUND($T45/$H$26,0),ROUND(AC$9/30*ROUND($T45/$H$26,0),0))), AC$10+ IF(AND($R45&gt;=AC$15,AC$15&gt;0),AC$18,0)-SUM(Z$37:Z44)),0)+IF(OR(AND($R45&lt;=DATE($Y$6+1,4,15),AC$15&lt;=DATE($Y$6+1,4,15),AC$15&gt;0,AC$7-ROUND(SUM($T$37:$T44)/$H$26,0)&gt;=ROUND($T45/$H$26,0)), AC$15&gt;$R45),0,IF(AND($R45&lt;=DATE($Y$6+1,4,15),AC$15&lt;=DATE($Y$6+1,4,15),AC$15&gt;0,AC$7-ROUND(SUM($T$37:$T44)/$H$26,0)&gt;0,AC$7-ROUND(SUM($T$37:$T44)/$H$26,0)&lt;ROUND($T45/$H$26,0)),(ROUND($T45/$H$26,0)-(AC$7-ROUND(SUM($T$37:$T44)/$H$26,0)))*ROUND(AC$16/30,0),IF(AND($R45&gt;=AC$15,AC$15&gt;0,$R45&lt;=DATE($Y$12+1,4,15)),IF(SUM(Z$37:Z44)+ROUND(IF(YEAR($R45)=$Y$12,AC$16,IF(YEAR($R45)=$Y$12+1,AC$17,0))/30*ROUND($T45/$H$26,0),0)&lt;=AC$10+IF(AND($R45&gt;=AC$15,AC$15&gt;0),AC$18,0),ROUND(IF(YEAR($R45)=$Y$12,AC$16,IF(YEAR($R45)=$Y$12+1,AC$17,0))/30*ROUND($T45/$H$26,0),0),AC$10+AC$18-SUM(Z$37:Z44)),0)))&gt;ROUND(ROUND(16*INDEX($AT$5:$AT$7,MATCH(YEAR($R45),$AS$5:$AS$7,0),1)-1,-3)/30*ROUND($T45/$H$26,0),0),ROUND(ROUND(16*INDEX($AT$5:$AT$7,MATCH(YEAR($R45),$AS$5:$AS$7,0),1)-1,-3)/30*ROUND($T45/$H$26,0),0), IF(AND(AC$8&lt;=$R45,$R45&lt;=DATE($Y$6+1,4,15)),IF(SUM(Z$37:Z44)+IF(AND(AC$7-ROUND(SUM($T$37:$T44)/$H$26,0)&gt;0,AC$7-ROUND(SUM($T$37:$T44)/$H$26,0)&lt;=ROUND($T45/$H$26,0)),ROUND((AC$7-ROUND(SUM($T$37:$T44)/$H$26,0))*AC$9/30,0),IF(AC$7-ROUND(SUM($T$37:$T44)/$H$26,0)&gt;ROUND($T45/$H$26,0),ROUND(AC$9/30*ROUND($T45/$H$26,0),0)))&lt;=AC$10+IF(AND($R45&gt;=AC$15,AC$15&gt;0),AC$18,0),IF(AND(AC$7-ROUND(SUM($T$37:$T44)/$H$26,0)&gt;0,AC$7-ROUND(SUM($T$37:$T44)/$H$26,0)&lt;=ROUND($T45/$H$26,0)),ROUND((AC$7-ROUND(SUM($T$37:$T44)/$H$26,0))*AC$9/30,0),IF(AC$7-ROUND(SUM($T$37:$T44)/$H$26,0)&gt;ROUND($T45/$H$26,0),ROUND(AC$9/30*ROUND($T45/$H$26,0),0))), AC$10+ IF(AND($R45&gt;=AC$15,AC$15&gt;0),AC$18,0)-SUM(Z$37:Z44)),0)+IF(OR(AND($R45&lt;=DATE($Y$6+1,4,15),AC$15&lt;=DATE($Y$6+1,4,15),AC$15&gt;0,AC$7-ROUND(SUM($T$37:$T44)/$H$26,0)&gt;=ROUND($T45/$H$26,0)), AC$15&gt;$R45),0,IF(AND($R45&lt;=DATE($Y$6+1,4,15),AC$15&lt;=DATE($Y$6+1,4,15),AC$15&gt;0,AC$7-ROUND(SUM($T$37:$T44)/$H$26,0)&gt;0,AC$7-ROUND(SUM($T$37:$T44)/$H$26,0)&lt;ROUND($T45/$H$26,0)),(ROUND($T45/$H$26,0)-(AC$7-ROUND(SUM($T$37:$T44)/$H$26,0)))*ROUND(AC$16/30,0),IF(AND($R45&gt;=AC$15,AC$15&gt;0,$R45&lt;=DATE($Y$12+1,4,15)),IF(SUM(Z$37:Z44)+ROUND(IF(YEAR($R45)=$Y$12,AC$16,IF(YEAR($R45)=$Y$12+1,AC$17,0))/30*ROUND($T45/$H$26,0),0)&lt;=AC$10+IF(AND($R45&gt;=AC$15,AC$15&gt;0),AC$18,0),ROUND(IF(YEAR($R45)=$Y$12,AC$16,IF(YEAR($R45)=$Y$12+1,AC$17,0))/30*ROUND($T45/$H$26,0),0),AC$10+AC$18-SUM(Z$37:Z44)),0)))))</f>
        <v>0</v>
      </c>
      <c r="AA45" s="97" t="str">
        <f t="shared" si="11"/>
        <v>No</v>
      </c>
      <c r="AB45" s="10">
        <f t="shared" si="12"/>
        <v>0</v>
      </c>
      <c r="AC45" s="19"/>
      <c r="AD45" s="10">
        <f t="shared" si="13"/>
        <v>0</v>
      </c>
      <c r="AE45" s="10">
        <f t="shared" si="14"/>
        <v>0</v>
      </c>
      <c r="AF45" s="10">
        <f t="shared" si="15"/>
        <v>0</v>
      </c>
      <c r="AG45" s="10">
        <f t="shared" si="16"/>
        <v>0</v>
      </c>
      <c r="AH45" s="10">
        <f t="shared" si="17"/>
        <v>0</v>
      </c>
      <c r="AI45" s="10">
        <f t="shared" si="18"/>
        <v>0</v>
      </c>
      <c r="AJ45" s="2">
        <f t="shared" si="19"/>
        <v>0</v>
      </c>
      <c r="AK45" s="3">
        <f t="shared" si="20"/>
        <v>0</v>
      </c>
      <c r="AL45" s="10">
        <f t="shared" si="21"/>
        <v>0</v>
      </c>
      <c r="AM45" s="10">
        <f t="shared" si="22"/>
        <v>0</v>
      </c>
      <c r="AN45" s="20"/>
      <c r="AO45" s="10">
        <f t="shared" si="23"/>
        <v>0</v>
      </c>
      <c r="AP45" s="11">
        <f t="shared" si="24"/>
        <v>0</v>
      </c>
      <c r="AQ45" s="10">
        <f t="shared" si="25"/>
        <v>0</v>
      </c>
      <c r="AR45" s="10">
        <f t="shared" si="26"/>
        <v>0</v>
      </c>
      <c r="AS45" s="10">
        <f t="shared" si="27"/>
        <v>0</v>
      </c>
      <c r="AT45" s="10">
        <f t="shared" si="28"/>
        <v>0</v>
      </c>
      <c r="AU45" s="10">
        <f t="shared" si="38"/>
        <v>0</v>
      </c>
      <c r="AV45" s="10">
        <f t="shared" si="29"/>
        <v>0</v>
      </c>
      <c r="AW45" s="2">
        <f t="shared" si="30"/>
        <v>0</v>
      </c>
      <c r="AX45" s="3">
        <f t="shared" si="39"/>
        <v>0</v>
      </c>
      <c r="AY45" s="10">
        <f t="shared" si="31"/>
        <v>0</v>
      </c>
      <c r="AZ45" s="19"/>
      <c r="BA45" s="19"/>
      <c r="BB45" s="19"/>
      <c r="BC45" s="19"/>
      <c r="BD45" s="10">
        <f t="shared" si="32"/>
        <v>0</v>
      </c>
      <c r="BE45" s="3">
        <f t="shared" si="33"/>
        <v>0</v>
      </c>
      <c r="BF45" s="3">
        <f t="shared" si="34"/>
        <v>0</v>
      </c>
      <c r="BG45" s="4">
        <f t="shared" si="35"/>
        <v>0</v>
      </c>
      <c r="BH45" s="68"/>
      <c r="BI45" s="115"/>
      <c r="BJ45" s="115"/>
      <c r="BK45" s="122"/>
      <c r="BL45" s="115"/>
      <c r="BM45" s="115"/>
      <c r="BN45" s="122"/>
      <c r="BO45" s="115"/>
      <c r="BP45" s="115"/>
      <c r="BQ45" s="122"/>
      <c r="BR45" s="115"/>
      <c r="BT45" s="90" t="s">
        <v>108</v>
      </c>
      <c r="BU45" s="91" t="s">
        <v>183</v>
      </c>
      <c r="BV45" s="112"/>
      <c r="BW45" s="113"/>
    </row>
    <row r="46" spans="1:75" ht="12.75" customHeight="1" x14ac:dyDescent="0.2">
      <c r="A46" s="48">
        <v>9</v>
      </c>
      <c r="B46" s="13">
        <f t="shared" si="36"/>
        <v>46295</v>
      </c>
      <c r="C46" s="98">
        <f>IF(OR($H$19=0,$H$20=0),0,IF(AND($H$19&gt;=EOMONTH($B46,-1)+1,$H$20&lt;=$B46),$H$25,IF(AND(EOMONTH($B46,-1)+1&gt;EOMONTH($H$19,0),$B46&lt;=EOMONTH($H$20,-1)),30-IF(OR($H$21=0,$H$22=0),0,IF(AND($B46=EOMONTH($H$21,0),$H$22&gt;$B46,$B46&gt;EOMONTH($H$19,0)),DAYS360($H$21,EOMONTH($H$21,0)+1),IF(AND($B46=EOMONTH($H$22,0),$B46&lt;$H$20,$H$21&lt;EOMONTH($B46,-1)+1),DAYS360(EOMONTH($H$22,-1)+1,$H$22+1),IF(AND(EOMONTH($B46,-1)+1&gt;EOMONTH($H$21,0),$B46&lt;=EOMONTH($H$22,-1)),30,IF(AND($B46=EOMONTH($H$21,0),$B46=EOMONTH($H$22,0)),$H$24,0))))),IF(AND($B46=EOMONTH($H$19,0),$B46&lt;$H$20),EOMONTH($H$19,0)-$H$19+IF(AND(MONTH($H$19)=2, DAY($H$19)=1,DAY(EOMONTH($H$19,0))=28),3,IF(AND(MONTH($H$19)=2, DAY($H$19)=1,DAY(EOMONTH($H$19,0))=29),2,IF(AND(DAY(EOMONTH($H$19,0))=31,DAY($H$19)=1),0,1)))-IF(AND($B46=EOMONTH($H$21,0),$H$22&gt;$B46,$H$20&gt;$B46),DAYS360($H$21,EOMONTH($H$21,0)+1),IF(AND($B46=EOMONTH($H$21,0),$B46=EOMONTH($H$22,0)),$H$24,0)),IF(AND($B46=EOMONTH($H$20,0)),$H$25-SUM($C$37:$C45),0)))))</f>
        <v>0</v>
      </c>
      <c r="D46" s="134"/>
      <c r="E46" s="144">
        <f>ROUND(IF(OR($H$19=0,$H$20=0),0,IF(AND($B46=EOMONTH($H$20,0)),$H$27-SUM($E$37:$E45),IF($C46=30,$H$18,IF($C46=31,$H$18+$H$26,$H$26*$C46)))),0)</f>
        <v>0</v>
      </c>
      <c r="F46" s="108">
        <f t="shared" si="1"/>
        <v>0</v>
      </c>
      <c r="G46" s="71">
        <f t="shared" si="37"/>
        <v>0</v>
      </c>
      <c r="H46" s="109">
        <f t="shared" si="2"/>
        <v>0</v>
      </c>
      <c r="I46" s="3">
        <f t="shared" si="3"/>
        <v>0</v>
      </c>
      <c r="J46" s="109">
        <f t="shared" si="4"/>
        <v>0</v>
      </c>
      <c r="K46" s="120"/>
      <c r="L46" s="109">
        <f t="shared" si="5"/>
        <v>0</v>
      </c>
      <c r="M46" s="10">
        <f t="shared" si="6"/>
        <v>0</v>
      </c>
      <c r="N46" s="133"/>
      <c r="O46" s="133"/>
      <c r="P46" s="18"/>
      <c r="Q46" s="31"/>
      <c r="R46" s="61"/>
      <c r="S46" s="1" t="str">
        <f>IF(OR($R46&lt;&gt;0,$T46&lt;&gt;0),1+MAX(S$37:S45),"")</f>
        <v/>
      </c>
      <c r="T46" s="115"/>
      <c r="U46" s="11">
        <f t="shared" si="7"/>
        <v>0</v>
      </c>
      <c r="V46" s="11">
        <f t="shared" si="8"/>
        <v>0</v>
      </c>
      <c r="W46" s="11">
        <f t="shared" si="9"/>
        <v>0</v>
      </c>
      <c r="X46" s="10">
        <f t="shared" si="10"/>
        <v>0</v>
      </c>
      <c r="Y46" s="10">
        <f>IF(OR($H$18=0,$T46=0),0,IF(IF(AND(AB$8&lt;=$R46,$R46&lt;=DATE($Y$6+1,4,15)),IF(SUM(Y$37:Y45)+IF(AND(AB$7-ROUND(SUM($T$37:$T45)/$H$26,0)&gt;0,AB$7-ROUND(SUM($T$37:$T45)/$H$26,0)&lt;=ROUND($T46/$H$26,0)),ROUND((AB$7-ROUND(SUM($T$37:$T45)/$H$26,0))*AB$9/30,0),IF(AB$7-ROUND(SUM($T$37:$T45)/$H$26,0)&gt;ROUND($T46/$H$26,0),ROUND(AB$9/30*ROUND($T46/$H$26,0),0)))&lt;=AB$10+IF(AND($R46&gt;=AB$15,AB$15&gt;0),AB$18,0),IF(AND(AB$7-ROUND(SUM($T$37:$T45)/$H$26,0)&gt;0,AB$7-ROUND(SUM($T$37:$T45)/$H$26,0)&lt;=ROUND($T46/$H$26,0)),ROUND((AB$7-ROUND(SUM($T$37:$T45)/$H$26,0))*AB$9/30,0),IF(AB$7-ROUND(SUM($T$37:$T45)/$H$26,0)&gt;ROUND($T46/$H$26,0),ROUND(AB$9/30*ROUND($T46/$H$26,0),0))), AB$10+ IF(AND($R46&gt;=AB$15,AB$15&gt;0),AB$18,0)-SUM(Y$37:Y45)),0)+IF(OR(AND($R46&lt;=DATE($Y$6+1,4,15),AB$15&lt;=DATE($Y$6+1,4,15),AB$15&gt;0,AB$7-ROUND(SUM($T$37:$T45)/$H$26,0)&gt;=ROUND($T46/$H$26,0)), AB$15&gt;$R46),0,IF(AND($R46&lt;=DATE($Y$6+1,4,15),AB$15&lt;=DATE($Y$6+1,4,15),AB$15&gt;0,AB$7-ROUND(SUM($T$37:$T45)/$H$26,0)&gt;0,AB$7-ROUND(SUM($T$37:$T45)/$H$26,0)&lt;ROUND($T46/$H$26,0)),(ROUND($T46/$H$26,0)-(AB$7-ROUND(SUM($T$37:$T45)/$H$26,0)))*ROUND(AB$16/30,0),IF(AND($R46&gt;=AB$15,AB$15&gt;0,$R46&lt;=DATE($Y$12+1,4,15)),IF(SUM(Y$37:Y45)+ROUND(IF(YEAR($R46)=$Y$12,AB$16,IF(YEAR($R46)=$Y$12+1,AB$17,0))/30*ROUND($T46/$H$26,0),0)&lt;=AB$10+IF(AND($R46&gt;=AB$15,AB$15&gt;0),AB$18,0),ROUND(IF(YEAR($R46)=$Y$12,AB$16,IF(YEAR($R46)=$Y$12+1,AB$17,0))/30*ROUND($T46/$H$26,0),0),AB$10+AB$18-SUM(Y$37:Y45)),0)))&gt;ROUND(ROUND(100*INDEX($AT$5:$AT$7,MATCH(YEAR($R46),$AS$5:$AS$7,0),1)-1,-3)/30*ROUND($T46/$H$26,0),0),ROUND(ROUND(100*INDEX($AT$5:$AT$7,MATCH(YEAR($R46),$AS$5:$AS$7,0),1)-1,-3)/30*ROUND($T46/$H$26,0),0), IF(AND(AB$8&lt;=$R46,$R46&lt;=DATE($Y$6+1,4,15)),IF(SUM(Y$37:Y45)+IF(AND(AB$7-ROUND(SUM($T$37:$T45)/$H$26,0)&gt;0,AB$7-ROUND(SUM($T$37:$T45)/$H$26,0)&lt;=ROUND($T46/$H$26,0)),ROUND((AB$7-ROUND(SUM($T$37:$T45)/$H$26,0))*AB$9/30,0),IF(AB$7-ROUND(SUM($T$37:$T45)/$H$26,0)&gt;ROUND($T46/$H$26,0),ROUND(AB$9/30*ROUND($T46/$H$26,0),0)))&lt;=AB$10+IF(AND($R46&gt;=AB$15,AB$15&gt;0),AB$18,0),IF(AND(AB$7-ROUND(SUM($T$37:$T45)/$H$26,0)&gt;0,AB$7-ROUND(SUM($T$37:$T45)/$H$26,0)&lt;=ROUND($T46/$H$26,0)),ROUND((AB$7-ROUND(SUM($T$37:$T45)/$H$26,0))*AB$9/30,0),IF(AB$7-ROUND(SUM($T$37:$T45)/$H$26,0)&gt;ROUND($T46/$H$26,0),ROUND(AB$9/30*ROUND($T46/$H$26,0),0))), AB$10+ IF(AND($R46&gt;=AB$15,AB$15&gt;0),AB$18,0)-SUM(Y$37:Y45)),0)+IF(OR(AND($R46&lt;=DATE($Y$6+1,4,15),AB$15&lt;=DATE($Y$6+1,4,15),AB$15&gt;0,AB$7-ROUND(SUM($T$37:$T45)/$H$26,0)&gt;=ROUND($T46/$H$26,0)), AB$15&gt;$R46),0,IF(AND($R46&lt;=DATE($Y$6+1,4,15),AB$15&lt;=DATE($Y$6+1,4,15),AB$15&gt;0,AB$7-ROUND(SUM($T$37:$T45)/$H$26,0)&gt;0,AB$7-ROUND(SUM($T$37:$T45)/$H$26,0)&lt;ROUND($T46/$H$26,0)),(ROUND($T46/$H$26,0)-(AB$7-ROUND(SUM($T$37:$T45)/$H$26,0)))*ROUND(AB$16/30,0),IF(AND($R46&gt;=AB$15,AB$15&gt;0,$R46&lt;=DATE($Y$12+1,4,15)),IF(SUM(Y$37:Y45)+ROUND(IF(YEAR($R46)=$Y$12,AB$16,IF(YEAR($R46)=$Y$12+1,AB$17,0))/30*ROUND($T46/$H$26,0),0)&lt;=AB$10+IF(AND($R46&gt;=AB$15,AB$15&gt;0),AB$18,0),ROUND(IF(YEAR($R46)=$Y$12,AB$16,IF(YEAR($R46)=$Y$12+1,AB$17,0))/30*ROUND($T46/$H$26,0),0),AB$10+AB$18-SUM(Y$37:Y45)),0)))))</f>
        <v>0</v>
      </c>
      <c r="Z46" s="10">
        <f>IF(OR($H$18=0,$T46=0),0,IF(IF(AND(AC$8&lt;=$R46,$R46&lt;=DATE($Y$6+1,4,15)),IF(SUM(Z$37:Z45)+IF(AND(AC$7-ROUND(SUM($T$37:$T45)/$H$26,0)&gt;0,AC$7-ROUND(SUM($T$37:$T45)/$H$26,0)&lt;=ROUND($T46/$H$26,0)),ROUND((AC$7-ROUND(SUM($T$37:$T45)/$H$26,0))*AC$9/30,0),IF(AC$7-ROUND(SUM($T$37:$T45)/$H$26,0)&gt;ROUND($T46/$H$26,0),ROUND(AC$9/30*ROUND($T46/$H$26,0),0)))&lt;=AC$10+IF(AND($R46&gt;=AC$15,AC$15&gt;0),AC$18,0),IF(AND(AC$7-ROUND(SUM($T$37:$T45)/$H$26,0)&gt;0,AC$7-ROUND(SUM($T$37:$T45)/$H$26,0)&lt;=ROUND($T46/$H$26,0)),ROUND((AC$7-ROUND(SUM($T$37:$T45)/$H$26,0))*AC$9/30,0),IF(AC$7-ROUND(SUM($T$37:$T45)/$H$26,0)&gt;ROUND($T46/$H$26,0),ROUND(AC$9/30*ROUND($T46/$H$26,0),0))), AC$10+ IF(AND($R46&gt;=AC$15,AC$15&gt;0),AC$18,0)-SUM(Z$37:Z45)),0)+IF(OR(AND($R46&lt;=DATE($Y$6+1,4,15),AC$15&lt;=DATE($Y$6+1,4,15),AC$15&gt;0,AC$7-ROUND(SUM($T$37:$T45)/$H$26,0)&gt;=ROUND($T46/$H$26,0)), AC$15&gt;$R46),0,IF(AND($R46&lt;=DATE($Y$6+1,4,15),AC$15&lt;=DATE($Y$6+1,4,15),AC$15&gt;0,AC$7-ROUND(SUM($T$37:$T45)/$H$26,0)&gt;0,AC$7-ROUND(SUM($T$37:$T45)/$H$26,0)&lt;ROUND($T46/$H$26,0)),(ROUND($T46/$H$26,0)-(AC$7-ROUND(SUM($T$37:$T45)/$H$26,0)))*ROUND(AC$16/30,0),IF(AND($R46&gt;=AC$15,AC$15&gt;0,$R46&lt;=DATE($Y$12+1,4,15)),IF(SUM(Z$37:Z45)+ROUND(IF(YEAR($R46)=$Y$12,AC$16,IF(YEAR($R46)=$Y$12+1,AC$17,0))/30*ROUND($T46/$H$26,0),0)&lt;=AC$10+IF(AND($R46&gt;=AC$15,AC$15&gt;0),AC$18,0),ROUND(IF(YEAR($R46)=$Y$12,AC$16,IF(YEAR($R46)=$Y$12+1,AC$17,0))/30*ROUND($T46/$H$26,0),0),AC$10+AC$18-SUM(Z$37:Z45)),0)))&gt;ROUND(ROUND(16*INDEX($AT$5:$AT$7,MATCH(YEAR($R46),$AS$5:$AS$7,0),1)-1,-3)/30*ROUND($T46/$H$26,0),0),ROUND(ROUND(16*INDEX($AT$5:$AT$7,MATCH(YEAR($R46),$AS$5:$AS$7,0),1)-1,-3)/30*ROUND($T46/$H$26,0),0), IF(AND(AC$8&lt;=$R46,$R46&lt;=DATE($Y$6+1,4,15)),IF(SUM(Z$37:Z45)+IF(AND(AC$7-ROUND(SUM($T$37:$T45)/$H$26,0)&gt;0,AC$7-ROUND(SUM($T$37:$T45)/$H$26,0)&lt;=ROUND($T46/$H$26,0)),ROUND((AC$7-ROUND(SUM($T$37:$T45)/$H$26,0))*AC$9/30,0),IF(AC$7-ROUND(SUM($T$37:$T45)/$H$26,0)&gt;ROUND($T46/$H$26,0),ROUND(AC$9/30*ROUND($T46/$H$26,0),0)))&lt;=AC$10+IF(AND($R46&gt;=AC$15,AC$15&gt;0),AC$18,0),IF(AND(AC$7-ROUND(SUM($T$37:$T45)/$H$26,0)&gt;0,AC$7-ROUND(SUM($T$37:$T45)/$H$26,0)&lt;=ROUND($T46/$H$26,0)),ROUND((AC$7-ROUND(SUM($T$37:$T45)/$H$26,0))*AC$9/30,0),IF(AC$7-ROUND(SUM($T$37:$T45)/$H$26,0)&gt;ROUND($T46/$H$26,0),ROUND(AC$9/30*ROUND($T46/$H$26,0),0))), AC$10+ IF(AND($R46&gt;=AC$15,AC$15&gt;0),AC$18,0)-SUM(Z$37:Z45)),0)+IF(OR(AND($R46&lt;=DATE($Y$6+1,4,15),AC$15&lt;=DATE($Y$6+1,4,15),AC$15&gt;0,AC$7-ROUND(SUM($T$37:$T45)/$H$26,0)&gt;=ROUND($T46/$H$26,0)), AC$15&gt;$R46),0,IF(AND($R46&lt;=DATE($Y$6+1,4,15),AC$15&lt;=DATE($Y$6+1,4,15),AC$15&gt;0,AC$7-ROUND(SUM($T$37:$T45)/$H$26,0)&gt;0,AC$7-ROUND(SUM($T$37:$T45)/$H$26,0)&lt;ROUND($T46/$H$26,0)),(ROUND($T46/$H$26,0)-(AC$7-ROUND(SUM($T$37:$T45)/$H$26,0)))*ROUND(AC$16/30,0),IF(AND($R46&gt;=AC$15,AC$15&gt;0,$R46&lt;=DATE($Y$12+1,4,15)),IF(SUM(Z$37:Z45)+ROUND(IF(YEAR($R46)=$Y$12,AC$16,IF(YEAR($R46)=$Y$12+1,AC$17,0))/30*ROUND($T46/$H$26,0),0)&lt;=AC$10+IF(AND($R46&gt;=AC$15,AC$15&gt;0),AC$18,0),ROUND(IF(YEAR($R46)=$Y$12,AC$16,IF(YEAR($R46)=$Y$12+1,AC$17,0))/30*ROUND($T46/$H$26,0),0),AC$10+AC$18-SUM(Z$37:Z45)),0)))))</f>
        <v>0</v>
      </c>
      <c r="AA46" s="97" t="str">
        <f t="shared" si="11"/>
        <v>No</v>
      </c>
      <c r="AB46" s="10">
        <f t="shared" si="12"/>
        <v>0</v>
      </c>
      <c r="AC46" s="19"/>
      <c r="AD46" s="10">
        <f t="shared" si="13"/>
        <v>0</v>
      </c>
      <c r="AE46" s="10">
        <f t="shared" si="14"/>
        <v>0</v>
      </c>
      <c r="AF46" s="10">
        <f t="shared" si="15"/>
        <v>0</v>
      </c>
      <c r="AG46" s="10">
        <f t="shared" si="16"/>
        <v>0</v>
      </c>
      <c r="AH46" s="10">
        <f t="shared" si="17"/>
        <v>0</v>
      </c>
      <c r="AI46" s="10">
        <f t="shared" si="18"/>
        <v>0</v>
      </c>
      <c r="AJ46" s="2">
        <f t="shared" si="19"/>
        <v>0</v>
      </c>
      <c r="AK46" s="3">
        <f t="shared" si="20"/>
        <v>0</v>
      </c>
      <c r="AL46" s="10">
        <f t="shared" si="21"/>
        <v>0</v>
      </c>
      <c r="AM46" s="10">
        <f t="shared" si="22"/>
        <v>0</v>
      </c>
      <c r="AN46" s="20"/>
      <c r="AO46" s="10">
        <f t="shared" si="23"/>
        <v>0</v>
      </c>
      <c r="AP46" s="11">
        <f t="shared" si="24"/>
        <v>0</v>
      </c>
      <c r="AQ46" s="10">
        <f t="shared" si="25"/>
        <v>0</v>
      </c>
      <c r="AR46" s="10">
        <f t="shared" si="26"/>
        <v>0</v>
      </c>
      <c r="AS46" s="10">
        <f t="shared" si="27"/>
        <v>0</v>
      </c>
      <c r="AT46" s="10">
        <f t="shared" si="28"/>
        <v>0</v>
      </c>
      <c r="AU46" s="10">
        <f t="shared" si="38"/>
        <v>0</v>
      </c>
      <c r="AV46" s="10">
        <f t="shared" si="29"/>
        <v>0</v>
      </c>
      <c r="AW46" s="2">
        <f t="shared" si="30"/>
        <v>0</v>
      </c>
      <c r="AX46" s="3">
        <f t="shared" si="39"/>
        <v>0</v>
      </c>
      <c r="AY46" s="10">
        <f t="shared" si="31"/>
        <v>0</v>
      </c>
      <c r="AZ46" s="19"/>
      <c r="BA46" s="19"/>
      <c r="BB46" s="19"/>
      <c r="BC46" s="19"/>
      <c r="BD46" s="10">
        <f t="shared" si="32"/>
        <v>0</v>
      </c>
      <c r="BE46" s="3">
        <f t="shared" si="33"/>
        <v>0</v>
      </c>
      <c r="BF46" s="3">
        <f t="shared" si="34"/>
        <v>0</v>
      </c>
      <c r="BG46" s="4">
        <f t="shared" si="35"/>
        <v>0</v>
      </c>
      <c r="BH46" s="68"/>
      <c r="BI46" s="115"/>
      <c r="BJ46" s="115"/>
      <c r="BK46" s="122"/>
      <c r="BL46" s="115"/>
      <c r="BM46" s="115"/>
      <c r="BN46" s="122"/>
      <c r="BO46" s="115"/>
      <c r="BP46" s="115"/>
      <c r="BQ46" s="122"/>
      <c r="BR46" s="115"/>
      <c r="BT46" s="90" t="s">
        <v>108</v>
      </c>
      <c r="BU46" s="91" t="s">
        <v>186</v>
      </c>
      <c r="BV46" s="112"/>
      <c r="BW46" s="113"/>
    </row>
    <row r="47" spans="1:75" ht="12.75" customHeight="1" x14ac:dyDescent="0.2">
      <c r="A47" s="48">
        <v>10</v>
      </c>
      <c r="B47" s="13">
        <f t="shared" si="36"/>
        <v>46326</v>
      </c>
      <c r="C47" s="98">
        <f>IF(OR($H$19=0,$H$20=0),0,IF(AND($H$19&gt;=EOMONTH($B47,-1)+1,$H$20&lt;=$B47),$H$25,IF(AND(EOMONTH($B47,-1)+1&gt;EOMONTH($H$19,0),$B47&lt;=EOMONTH($H$20,-1)),30-IF(OR($H$21=0,$H$22=0),0,IF(AND($B47=EOMONTH($H$21,0),$H$22&gt;$B47,$B47&gt;EOMONTH($H$19,0)),DAYS360($H$21,EOMONTH($H$21,0)+1),IF(AND($B47=EOMONTH($H$22,0),$B47&lt;$H$20,$H$21&lt;EOMONTH($B47,-1)+1),DAYS360(EOMONTH($H$22,-1)+1,$H$22+1),IF(AND(EOMONTH($B47,-1)+1&gt;EOMONTH($H$21,0),$B47&lt;=EOMONTH($H$22,-1)),30,IF(AND($B47=EOMONTH($H$21,0),$B47=EOMONTH($H$22,0)),$H$24,0))))),IF(AND($B47=EOMONTH($H$19,0),$B47&lt;$H$20),EOMONTH($H$19,0)-$H$19+IF(AND(MONTH($H$19)=2, DAY($H$19)=1,DAY(EOMONTH($H$19,0))=28),3,IF(AND(MONTH($H$19)=2, DAY($H$19)=1,DAY(EOMONTH($H$19,0))=29),2,IF(AND(DAY(EOMONTH($H$19,0))=31,DAY($H$19)=1),0,1)))-IF(AND($B47=EOMONTH($H$21,0),$H$22&gt;$B47,$H$20&gt;$B47),DAYS360($H$21,EOMONTH($H$21,0)+1),IF(AND($B47=EOMONTH($H$21,0),$B47=EOMONTH($H$22,0)),$H$24,0)),IF(AND($B47=EOMONTH($H$20,0)),$H$25-SUM($C$37:$C46),0)))))</f>
        <v>0</v>
      </c>
      <c r="D47" s="134"/>
      <c r="E47" s="144">
        <f>ROUND(IF(OR($H$19=0,$H$20=0),0,IF(AND($B47=EOMONTH($H$20,0)),$H$27-SUM($E$37:$E46),IF($C47=30,$H$18,IF($C47=31,$H$18+$H$26,$H$26*$C47)))),0)</f>
        <v>0</v>
      </c>
      <c r="F47" s="108">
        <f t="shared" si="1"/>
        <v>0</v>
      </c>
      <c r="G47" s="71">
        <f t="shared" si="37"/>
        <v>0</v>
      </c>
      <c r="H47" s="109">
        <f t="shared" si="2"/>
        <v>0</v>
      </c>
      <c r="I47" s="3">
        <f t="shared" si="3"/>
        <v>0</v>
      </c>
      <c r="J47" s="109">
        <f t="shared" si="4"/>
        <v>0</v>
      </c>
      <c r="K47" s="120"/>
      <c r="L47" s="109">
        <f t="shared" si="5"/>
        <v>0</v>
      </c>
      <c r="M47" s="10">
        <f t="shared" si="6"/>
        <v>0</v>
      </c>
      <c r="N47" s="133"/>
      <c r="O47" s="133"/>
      <c r="P47" s="18"/>
      <c r="Q47" s="31"/>
      <c r="R47" s="61"/>
      <c r="S47" s="1" t="str">
        <f>IF(OR($R47&lt;&gt;0,$T47&lt;&gt;0),1+MAX(S$37:S46),"")</f>
        <v/>
      </c>
      <c r="T47" s="115"/>
      <c r="U47" s="11">
        <f t="shared" si="7"/>
        <v>0</v>
      </c>
      <c r="V47" s="11">
        <f t="shared" si="8"/>
        <v>0</v>
      </c>
      <c r="W47" s="11">
        <f t="shared" si="9"/>
        <v>0</v>
      </c>
      <c r="X47" s="10">
        <f t="shared" si="10"/>
        <v>0</v>
      </c>
      <c r="Y47" s="10">
        <f>IF(OR($H$18=0,$T47=0),0,IF(IF(AND(AB$8&lt;=$R47,$R47&lt;=DATE($Y$6+1,4,15)),IF(SUM(Y$37:Y46)+IF(AND(AB$7-ROUND(SUM($T$37:$T46)/$H$26,0)&gt;0,AB$7-ROUND(SUM($T$37:$T46)/$H$26,0)&lt;=ROUND($T47/$H$26,0)),ROUND((AB$7-ROUND(SUM($T$37:$T46)/$H$26,0))*AB$9/30,0),IF(AB$7-ROUND(SUM($T$37:$T46)/$H$26,0)&gt;ROUND($T47/$H$26,0),ROUND(AB$9/30*ROUND($T47/$H$26,0),0)))&lt;=AB$10+IF(AND($R47&gt;=AB$15,AB$15&gt;0),AB$18,0),IF(AND(AB$7-ROUND(SUM($T$37:$T46)/$H$26,0)&gt;0,AB$7-ROUND(SUM($T$37:$T46)/$H$26,0)&lt;=ROUND($T47/$H$26,0)),ROUND((AB$7-ROUND(SUM($T$37:$T46)/$H$26,0))*AB$9/30,0),IF(AB$7-ROUND(SUM($T$37:$T46)/$H$26,0)&gt;ROUND($T47/$H$26,0),ROUND(AB$9/30*ROUND($T47/$H$26,0),0))), AB$10+ IF(AND($R47&gt;=AB$15,AB$15&gt;0),AB$18,0)-SUM(Y$37:Y46)),0)+IF(OR(AND($R47&lt;=DATE($Y$6+1,4,15),AB$15&lt;=DATE($Y$6+1,4,15),AB$15&gt;0,AB$7-ROUND(SUM($T$37:$T46)/$H$26,0)&gt;=ROUND($T47/$H$26,0)), AB$15&gt;$R47),0,IF(AND($R47&lt;=DATE($Y$6+1,4,15),AB$15&lt;=DATE($Y$6+1,4,15),AB$15&gt;0,AB$7-ROUND(SUM($T$37:$T46)/$H$26,0)&gt;0,AB$7-ROUND(SUM($T$37:$T46)/$H$26,0)&lt;ROUND($T47/$H$26,0)),(ROUND($T47/$H$26,0)-(AB$7-ROUND(SUM($T$37:$T46)/$H$26,0)))*ROUND(AB$16/30,0),IF(AND($R47&gt;=AB$15,AB$15&gt;0,$R47&lt;=DATE($Y$12+1,4,15)),IF(SUM(Y$37:Y46)+ROUND(IF(YEAR($R47)=$Y$12,AB$16,IF(YEAR($R47)=$Y$12+1,AB$17,0))/30*ROUND($T47/$H$26,0),0)&lt;=AB$10+IF(AND($R47&gt;=AB$15,AB$15&gt;0),AB$18,0),ROUND(IF(YEAR($R47)=$Y$12,AB$16,IF(YEAR($R47)=$Y$12+1,AB$17,0))/30*ROUND($T47/$H$26,0),0),AB$10+AB$18-SUM(Y$37:Y46)),0)))&gt;ROUND(ROUND(100*INDEX($AT$5:$AT$7,MATCH(YEAR($R47),$AS$5:$AS$7,0),1)-1,-3)/30*ROUND($T47/$H$26,0),0),ROUND(ROUND(100*INDEX($AT$5:$AT$7,MATCH(YEAR($R47),$AS$5:$AS$7,0),1)-1,-3)/30*ROUND($T47/$H$26,0),0), IF(AND(AB$8&lt;=$R47,$R47&lt;=DATE($Y$6+1,4,15)),IF(SUM(Y$37:Y46)+IF(AND(AB$7-ROUND(SUM($T$37:$T46)/$H$26,0)&gt;0,AB$7-ROUND(SUM($T$37:$T46)/$H$26,0)&lt;=ROUND($T47/$H$26,0)),ROUND((AB$7-ROUND(SUM($T$37:$T46)/$H$26,0))*AB$9/30,0),IF(AB$7-ROUND(SUM($T$37:$T46)/$H$26,0)&gt;ROUND($T47/$H$26,0),ROUND(AB$9/30*ROUND($T47/$H$26,0),0)))&lt;=AB$10+IF(AND($R47&gt;=AB$15,AB$15&gt;0),AB$18,0),IF(AND(AB$7-ROUND(SUM($T$37:$T46)/$H$26,0)&gt;0,AB$7-ROUND(SUM($T$37:$T46)/$H$26,0)&lt;=ROUND($T47/$H$26,0)),ROUND((AB$7-ROUND(SUM($T$37:$T46)/$H$26,0))*AB$9/30,0),IF(AB$7-ROUND(SUM($T$37:$T46)/$H$26,0)&gt;ROUND($T47/$H$26,0),ROUND(AB$9/30*ROUND($T47/$H$26,0),0))), AB$10+ IF(AND($R47&gt;=AB$15,AB$15&gt;0),AB$18,0)-SUM(Y$37:Y46)),0)+IF(OR(AND($R47&lt;=DATE($Y$6+1,4,15),AB$15&lt;=DATE($Y$6+1,4,15),AB$15&gt;0,AB$7-ROUND(SUM($T$37:$T46)/$H$26,0)&gt;=ROUND($T47/$H$26,0)), AB$15&gt;$R47),0,IF(AND($R47&lt;=DATE($Y$6+1,4,15),AB$15&lt;=DATE($Y$6+1,4,15),AB$15&gt;0,AB$7-ROUND(SUM($T$37:$T46)/$H$26,0)&gt;0,AB$7-ROUND(SUM($T$37:$T46)/$H$26,0)&lt;ROUND($T47/$H$26,0)),(ROUND($T47/$H$26,0)-(AB$7-ROUND(SUM($T$37:$T46)/$H$26,0)))*ROUND(AB$16/30,0),IF(AND($R47&gt;=AB$15,AB$15&gt;0,$R47&lt;=DATE($Y$12+1,4,15)),IF(SUM(Y$37:Y46)+ROUND(IF(YEAR($R47)=$Y$12,AB$16,IF(YEAR($R47)=$Y$12+1,AB$17,0))/30*ROUND($T47/$H$26,0),0)&lt;=AB$10+IF(AND($R47&gt;=AB$15,AB$15&gt;0),AB$18,0),ROUND(IF(YEAR($R47)=$Y$12,AB$16,IF(YEAR($R47)=$Y$12+1,AB$17,0))/30*ROUND($T47/$H$26,0),0),AB$10+AB$18-SUM(Y$37:Y46)),0)))))</f>
        <v>0</v>
      </c>
      <c r="Z47" s="10">
        <f>IF(OR($H$18=0,$T47=0),0,IF(IF(AND(AC$8&lt;=$R47,$R47&lt;=DATE($Y$6+1,4,15)),IF(SUM(Z$37:Z46)+IF(AND(AC$7-ROUND(SUM($T$37:$T46)/$H$26,0)&gt;0,AC$7-ROUND(SUM($T$37:$T46)/$H$26,0)&lt;=ROUND($T47/$H$26,0)),ROUND((AC$7-ROUND(SUM($T$37:$T46)/$H$26,0))*AC$9/30,0),IF(AC$7-ROUND(SUM($T$37:$T46)/$H$26,0)&gt;ROUND($T47/$H$26,0),ROUND(AC$9/30*ROUND($T47/$H$26,0),0)))&lt;=AC$10+IF(AND($R47&gt;=AC$15,AC$15&gt;0),AC$18,0),IF(AND(AC$7-ROUND(SUM($T$37:$T46)/$H$26,0)&gt;0,AC$7-ROUND(SUM($T$37:$T46)/$H$26,0)&lt;=ROUND($T47/$H$26,0)),ROUND((AC$7-ROUND(SUM($T$37:$T46)/$H$26,0))*AC$9/30,0),IF(AC$7-ROUND(SUM($T$37:$T46)/$H$26,0)&gt;ROUND($T47/$H$26,0),ROUND(AC$9/30*ROUND($T47/$H$26,0),0))), AC$10+ IF(AND($R47&gt;=AC$15,AC$15&gt;0),AC$18,0)-SUM(Z$37:Z46)),0)+IF(OR(AND($R47&lt;=DATE($Y$6+1,4,15),AC$15&lt;=DATE($Y$6+1,4,15),AC$15&gt;0,AC$7-ROUND(SUM($T$37:$T46)/$H$26,0)&gt;=ROUND($T47/$H$26,0)), AC$15&gt;$R47),0,IF(AND($R47&lt;=DATE($Y$6+1,4,15),AC$15&lt;=DATE($Y$6+1,4,15),AC$15&gt;0,AC$7-ROUND(SUM($T$37:$T46)/$H$26,0)&gt;0,AC$7-ROUND(SUM($T$37:$T46)/$H$26,0)&lt;ROUND($T47/$H$26,0)),(ROUND($T47/$H$26,0)-(AC$7-ROUND(SUM($T$37:$T46)/$H$26,0)))*ROUND(AC$16/30,0),IF(AND($R47&gt;=AC$15,AC$15&gt;0,$R47&lt;=DATE($Y$12+1,4,15)),IF(SUM(Z$37:Z46)+ROUND(IF(YEAR($R47)=$Y$12,AC$16,IF(YEAR($R47)=$Y$12+1,AC$17,0))/30*ROUND($T47/$H$26,0),0)&lt;=AC$10+IF(AND($R47&gt;=AC$15,AC$15&gt;0),AC$18,0),ROUND(IF(YEAR($R47)=$Y$12,AC$16,IF(YEAR($R47)=$Y$12+1,AC$17,0))/30*ROUND($T47/$H$26,0),0),AC$10+AC$18-SUM(Z$37:Z46)),0)))&gt;ROUND(ROUND(16*INDEX($AT$5:$AT$7,MATCH(YEAR($R47),$AS$5:$AS$7,0),1)-1,-3)/30*ROUND($T47/$H$26,0),0),ROUND(ROUND(16*INDEX($AT$5:$AT$7,MATCH(YEAR($R47),$AS$5:$AS$7,0),1)-1,-3)/30*ROUND($T47/$H$26,0),0), IF(AND(AC$8&lt;=$R47,$R47&lt;=DATE($Y$6+1,4,15)),IF(SUM(Z$37:Z46)+IF(AND(AC$7-ROUND(SUM($T$37:$T46)/$H$26,0)&gt;0,AC$7-ROUND(SUM($T$37:$T46)/$H$26,0)&lt;=ROUND($T47/$H$26,0)),ROUND((AC$7-ROUND(SUM($T$37:$T46)/$H$26,0))*AC$9/30,0),IF(AC$7-ROUND(SUM($T$37:$T46)/$H$26,0)&gt;ROUND($T47/$H$26,0),ROUND(AC$9/30*ROUND($T47/$H$26,0),0)))&lt;=AC$10+IF(AND($R47&gt;=AC$15,AC$15&gt;0),AC$18,0),IF(AND(AC$7-ROUND(SUM($T$37:$T46)/$H$26,0)&gt;0,AC$7-ROUND(SUM($T$37:$T46)/$H$26,0)&lt;=ROUND($T47/$H$26,0)),ROUND((AC$7-ROUND(SUM($T$37:$T46)/$H$26,0))*AC$9/30,0),IF(AC$7-ROUND(SUM($T$37:$T46)/$H$26,0)&gt;ROUND($T47/$H$26,0),ROUND(AC$9/30*ROUND($T47/$H$26,0),0))), AC$10+ IF(AND($R47&gt;=AC$15,AC$15&gt;0),AC$18,0)-SUM(Z$37:Z46)),0)+IF(OR(AND($R47&lt;=DATE($Y$6+1,4,15),AC$15&lt;=DATE($Y$6+1,4,15),AC$15&gt;0,AC$7-ROUND(SUM($T$37:$T46)/$H$26,0)&gt;=ROUND($T47/$H$26,0)), AC$15&gt;$R47),0,IF(AND($R47&lt;=DATE($Y$6+1,4,15),AC$15&lt;=DATE($Y$6+1,4,15),AC$15&gt;0,AC$7-ROUND(SUM($T$37:$T46)/$H$26,0)&gt;0,AC$7-ROUND(SUM($T$37:$T46)/$H$26,0)&lt;ROUND($T47/$H$26,0)),(ROUND($T47/$H$26,0)-(AC$7-ROUND(SUM($T$37:$T46)/$H$26,0)))*ROUND(AC$16/30,0),IF(AND($R47&gt;=AC$15,AC$15&gt;0,$R47&lt;=DATE($Y$12+1,4,15)),IF(SUM(Z$37:Z46)+ROUND(IF(YEAR($R47)=$Y$12,AC$16,IF(YEAR($R47)=$Y$12+1,AC$17,0))/30*ROUND($T47/$H$26,0),0)&lt;=AC$10+IF(AND($R47&gt;=AC$15,AC$15&gt;0),AC$18,0),ROUND(IF(YEAR($R47)=$Y$12,AC$16,IF(YEAR($R47)=$Y$12+1,AC$17,0))/30*ROUND($T47/$H$26,0),0),AC$10+AC$18-SUM(Z$37:Z46)),0)))))</f>
        <v>0</v>
      </c>
      <c r="AA47" s="97" t="str">
        <f t="shared" si="11"/>
        <v>No</v>
      </c>
      <c r="AB47" s="10">
        <f t="shared" si="12"/>
        <v>0</v>
      </c>
      <c r="AC47" s="19"/>
      <c r="AD47" s="10">
        <f t="shared" si="13"/>
        <v>0</v>
      </c>
      <c r="AE47" s="10">
        <f t="shared" si="14"/>
        <v>0</v>
      </c>
      <c r="AF47" s="10">
        <f t="shared" si="15"/>
        <v>0</v>
      </c>
      <c r="AG47" s="10">
        <f t="shared" si="16"/>
        <v>0</v>
      </c>
      <c r="AH47" s="10">
        <f t="shared" si="17"/>
        <v>0</v>
      </c>
      <c r="AI47" s="10">
        <f t="shared" si="18"/>
        <v>0</v>
      </c>
      <c r="AJ47" s="2">
        <f t="shared" si="19"/>
        <v>0</v>
      </c>
      <c r="AK47" s="3">
        <f t="shared" si="20"/>
        <v>0</v>
      </c>
      <c r="AL47" s="10">
        <f t="shared" si="21"/>
        <v>0</v>
      </c>
      <c r="AM47" s="10">
        <f t="shared" si="22"/>
        <v>0</v>
      </c>
      <c r="AN47" s="20"/>
      <c r="AO47" s="10">
        <f t="shared" si="23"/>
        <v>0</v>
      </c>
      <c r="AP47" s="11">
        <f t="shared" si="24"/>
        <v>0</v>
      </c>
      <c r="AQ47" s="10">
        <f t="shared" si="25"/>
        <v>0</v>
      </c>
      <c r="AR47" s="10">
        <f t="shared" si="26"/>
        <v>0</v>
      </c>
      <c r="AS47" s="10">
        <f t="shared" si="27"/>
        <v>0</v>
      </c>
      <c r="AT47" s="10">
        <f t="shared" si="28"/>
        <v>0</v>
      </c>
      <c r="AU47" s="10">
        <f t="shared" si="38"/>
        <v>0</v>
      </c>
      <c r="AV47" s="10">
        <f t="shared" si="29"/>
        <v>0</v>
      </c>
      <c r="AW47" s="2">
        <f t="shared" si="30"/>
        <v>0</v>
      </c>
      <c r="AX47" s="3">
        <f t="shared" si="39"/>
        <v>0</v>
      </c>
      <c r="AY47" s="10">
        <f t="shared" si="31"/>
        <v>0</v>
      </c>
      <c r="AZ47" s="19"/>
      <c r="BA47" s="19"/>
      <c r="BB47" s="19"/>
      <c r="BC47" s="19"/>
      <c r="BD47" s="10">
        <f t="shared" si="32"/>
        <v>0</v>
      </c>
      <c r="BE47" s="3">
        <f t="shared" si="33"/>
        <v>0</v>
      </c>
      <c r="BF47" s="3">
        <f t="shared" si="34"/>
        <v>0</v>
      </c>
      <c r="BG47" s="4">
        <f t="shared" si="35"/>
        <v>0</v>
      </c>
      <c r="BH47" s="68"/>
      <c r="BI47" s="115"/>
      <c r="BJ47" s="115"/>
      <c r="BK47" s="122"/>
      <c r="BL47" s="115"/>
      <c r="BM47" s="115"/>
      <c r="BN47" s="122"/>
      <c r="BO47" s="115"/>
      <c r="BP47" s="115"/>
      <c r="BQ47" s="122"/>
      <c r="BR47" s="115"/>
      <c r="BT47" s="90" t="s">
        <v>108</v>
      </c>
      <c r="BU47" s="91" t="s">
        <v>187</v>
      </c>
      <c r="BV47" s="112"/>
      <c r="BW47" s="113"/>
    </row>
    <row r="48" spans="1:75" ht="12.75" customHeight="1" x14ac:dyDescent="0.2">
      <c r="A48" s="48">
        <v>11</v>
      </c>
      <c r="B48" s="13">
        <f t="shared" si="36"/>
        <v>46356</v>
      </c>
      <c r="C48" s="98">
        <f>IF(OR($H$19=0,$H$20=0),0,IF(AND($H$19&gt;=EOMONTH($B48,-1)+1,$H$20&lt;=$B48),$H$25,IF(AND(EOMONTH($B48,-1)+1&gt;EOMONTH($H$19,0),$B48&lt;=EOMONTH($H$20,-1)),30-IF(OR($H$21=0,$H$22=0),0,IF(AND($B48=EOMONTH($H$21,0),$H$22&gt;$B48,$B48&gt;EOMONTH($H$19,0)),DAYS360($H$21,EOMONTH($H$21,0)+1),IF(AND($B48=EOMONTH($H$22,0),$B48&lt;$H$20,$H$21&lt;EOMONTH($B48,-1)+1),DAYS360(EOMONTH($H$22,-1)+1,$H$22+1),IF(AND(EOMONTH($B48,-1)+1&gt;EOMONTH($H$21,0),$B48&lt;=EOMONTH($H$22,-1)),30,IF(AND($B48=EOMONTH($H$21,0),$B48=EOMONTH($H$22,0)),$H$24,0))))),IF(AND($B48=EOMONTH($H$19,0),$B48&lt;$H$20),EOMONTH($H$19,0)-$H$19+IF(AND(MONTH($H$19)=2, DAY($H$19)=1,DAY(EOMONTH($H$19,0))=28),3,IF(AND(MONTH($H$19)=2, DAY($H$19)=1,DAY(EOMONTH($H$19,0))=29),2,IF(AND(DAY(EOMONTH($H$19,0))=31,DAY($H$19)=1),0,1)))-IF(AND($B48=EOMONTH($H$21,0),$H$22&gt;$B48,$H$20&gt;$B48),DAYS360($H$21,EOMONTH($H$21,0)+1),IF(AND($B48=EOMONTH($H$21,0),$B48=EOMONTH($H$22,0)),$H$24,0)),IF(AND($B48=EOMONTH($H$20,0)),$H$25-SUM($C$37:$C47),0)))))</f>
        <v>0</v>
      </c>
      <c r="D48" s="134"/>
      <c r="E48" s="144">
        <f>ROUND(IF(OR($H$19=0,$H$20=0),0,IF(AND($B48=EOMONTH($H$20,0)),$H$27-SUM($E$37:$E47),IF($C48=30,$H$18,IF($C48=31,$H$18+$H$26,$H$26*$C48)))),0)</f>
        <v>0</v>
      </c>
      <c r="F48" s="108">
        <f t="shared" si="1"/>
        <v>0</v>
      </c>
      <c r="G48" s="71">
        <f t="shared" si="37"/>
        <v>0</v>
      </c>
      <c r="H48" s="109">
        <f t="shared" si="2"/>
        <v>0</v>
      </c>
      <c r="I48" s="3">
        <f t="shared" si="3"/>
        <v>0</v>
      </c>
      <c r="J48" s="109">
        <f t="shared" si="4"/>
        <v>0</v>
      </c>
      <c r="K48" s="120"/>
      <c r="L48" s="109">
        <f t="shared" si="5"/>
        <v>0</v>
      </c>
      <c r="M48" s="10">
        <f t="shared" si="6"/>
        <v>0</v>
      </c>
      <c r="N48" s="133"/>
      <c r="O48" s="133"/>
      <c r="P48" s="18"/>
      <c r="Q48" s="31"/>
      <c r="R48" s="61"/>
      <c r="S48" s="1" t="str">
        <f>IF(OR($R48&lt;&gt;0,$T48&lt;&gt;0),1+MAX(S$37:S47),"")</f>
        <v/>
      </c>
      <c r="T48" s="115"/>
      <c r="U48" s="11">
        <f t="shared" si="7"/>
        <v>0</v>
      </c>
      <c r="V48" s="11">
        <f t="shared" si="8"/>
        <v>0</v>
      </c>
      <c r="W48" s="11">
        <f t="shared" si="9"/>
        <v>0</v>
      </c>
      <c r="X48" s="10">
        <f t="shared" si="10"/>
        <v>0</v>
      </c>
      <c r="Y48" s="10">
        <f>IF(OR($H$18=0,$T48=0),0,IF(IF(AND(AB$8&lt;=$R48,$R48&lt;=DATE($Y$6+1,4,15)),IF(SUM(Y$37:Y47)+IF(AND(AB$7-ROUND(SUM($T$37:$T47)/$H$26,0)&gt;0,AB$7-ROUND(SUM($T$37:$T47)/$H$26,0)&lt;=ROUND($T48/$H$26,0)),ROUND((AB$7-ROUND(SUM($T$37:$T47)/$H$26,0))*AB$9/30,0),IF(AB$7-ROUND(SUM($T$37:$T47)/$H$26,0)&gt;ROUND($T48/$H$26,0),ROUND(AB$9/30*ROUND($T48/$H$26,0),0)))&lt;=AB$10+IF(AND($R48&gt;=AB$15,AB$15&gt;0),AB$18,0),IF(AND(AB$7-ROUND(SUM($T$37:$T47)/$H$26,0)&gt;0,AB$7-ROUND(SUM($T$37:$T47)/$H$26,0)&lt;=ROUND($T48/$H$26,0)),ROUND((AB$7-ROUND(SUM($T$37:$T47)/$H$26,0))*AB$9/30,0),IF(AB$7-ROUND(SUM($T$37:$T47)/$H$26,0)&gt;ROUND($T48/$H$26,0),ROUND(AB$9/30*ROUND($T48/$H$26,0),0))), AB$10+ IF(AND($R48&gt;=AB$15,AB$15&gt;0),AB$18,0)-SUM(Y$37:Y47)),0)+IF(OR(AND($R48&lt;=DATE($Y$6+1,4,15),AB$15&lt;=DATE($Y$6+1,4,15),AB$15&gt;0,AB$7-ROUND(SUM($T$37:$T47)/$H$26,0)&gt;=ROUND($T48/$H$26,0)), AB$15&gt;$R48),0,IF(AND($R48&lt;=DATE($Y$6+1,4,15),AB$15&lt;=DATE($Y$6+1,4,15),AB$15&gt;0,AB$7-ROUND(SUM($T$37:$T47)/$H$26,0)&gt;0,AB$7-ROUND(SUM($T$37:$T47)/$H$26,0)&lt;ROUND($T48/$H$26,0)),(ROUND($T48/$H$26,0)-(AB$7-ROUND(SUM($T$37:$T47)/$H$26,0)))*ROUND(AB$16/30,0),IF(AND($R48&gt;=AB$15,AB$15&gt;0,$R48&lt;=DATE($Y$12+1,4,15)),IF(SUM(Y$37:Y47)+ROUND(IF(YEAR($R48)=$Y$12,AB$16,IF(YEAR($R48)=$Y$12+1,AB$17,0))/30*ROUND($T48/$H$26,0),0)&lt;=AB$10+IF(AND($R48&gt;=AB$15,AB$15&gt;0),AB$18,0),ROUND(IF(YEAR($R48)=$Y$12,AB$16,IF(YEAR($R48)=$Y$12+1,AB$17,0))/30*ROUND($T48/$H$26,0),0),AB$10+AB$18-SUM(Y$37:Y47)),0)))&gt;ROUND(ROUND(100*INDEX($AT$5:$AT$7,MATCH(YEAR($R48),$AS$5:$AS$7,0),1)-1,-3)/30*ROUND($T48/$H$26,0),0),ROUND(ROUND(100*INDEX($AT$5:$AT$7,MATCH(YEAR($R48),$AS$5:$AS$7,0),1)-1,-3)/30*ROUND($T48/$H$26,0),0), IF(AND(AB$8&lt;=$R48,$R48&lt;=DATE($Y$6+1,4,15)),IF(SUM(Y$37:Y47)+IF(AND(AB$7-ROUND(SUM($T$37:$T47)/$H$26,0)&gt;0,AB$7-ROUND(SUM($T$37:$T47)/$H$26,0)&lt;=ROUND($T48/$H$26,0)),ROUND((AB$7-ROUND(SUM($T$37:$T47)/$H$26,0))*AB$9/30,0),IF(AB$7-ROUND(SUM($T$37:$T47)/$H$26,0)&gt;ROUND($T48/$H$26,0),ROUND(AB$9/30*ROUND($T48/$H$26,0),0)))&lt;=AB$10+IF(AND($R48&gt;=AB$15,AB$15&gt;0),AB$18,0),IF(AND(AB$7-ROUND(SUM($T$37:$T47)/$H$26,0)&gt;0,AB$7-ROUND(SUM($T$37:$T47)/$H$26,0)&lt;=ROUND($T48/$H$26,0)),ROUND((AB$7-ROUND(SUM($T$37:$T47)/$H$26,0))*AB$9/30,0),IF(AB$7-ROUND(SUM($T$37:$T47)/$H$26,0)&gt;ROUND($T48/$H$26,0),ROUND(AB$9/30*ROUND($T48/$H$26,0),0))), AB$10+ IF(AND($R48&gt;=AB$15,AB$15&gt;0),AB$18,0)-SUM(Y$37:Y47)),0)+IF(OR(AND($R48&lt;=DATE($Y$6+1,4,15),AB$15&lt;=DATE($Y$6+1,4,15),AB$15&gt;0,AB$7-ROUND(SUM($T$37:$T47)/$H$26,0)&gt;=ROUND($T48/$H$26,0)), AB$15&gt;$R48),0,IF(AND($R48&lt;=DATE($Y$6+1,4,15),AB$15&lt;=DATE($Y$6+1,4,15),AB$15&gt;0,AB$7-ROUND(SUM($T$37:$T47)/$H$26,0)&gt;0,AB$7-ROUND(SUM($T$37:$T47)/$H$26,0)&lt;ROUND($T48/$H$26,0)),(ROUND($T48/$H$26,0)-(AB$7-ROUND(SUM($T$37:$T47)/$H$26,0)))*ROUND(AB$16/30,0),IF(AND($R48&gt;=AB$15,AB$15&gt;0,$R48&lt;=DATE($Y$12+1,4,15)),IF(SUM(Y$37:Y47)+ROUND(IF(YEAR($R48)=$Y$12,AB$16,IF(YEAR($R48)=$Y$12+1,AB$17,0))/30*ROUND($T48/$H$26,0),0)&lt;=AB$10+IF(AND($R48&gt;=AB$15,AB$15&gt;0),AB$18,0),ROUND(IF(YEAR($R48)=$Y$12,AB$16,IF(YEAR($R48)=$Y$12+1,AB$17,0))/30*ROUND($T48/$H$26,0),0),AB$10+AB$18-SUM(Y$37:Y47)),0)))))</f>
        <v>0</v>
      </c>
      <c r="Z48" s="10">
        <f>IF(OR($H$18=0,$T48=0),0,IF(IF(AND(AC$8&lt;=$R48,$R48&lt;=DATE($Y$6+1,4,15)),IF(SUM(Z$37:Z47)+IF(AND(AC$7-ROUND(SUM($T$37:$T47)/$H$26,0)&gt;0,AC$7-ROUND(SUM($T$37:$T47)/$H$26,0)&lt;=ROUND($T48/$H$26,0)),ROUND((AC$7-ROUND(SUM($T$37:$T47)/$H$26,0))*AC$9/30,0),IF(AC$7-ROUND(SUM($T$37:$T47)/$H$26,0)&gt;ROUND($T48/$H$26,0),ROUND(AC$9/30*ROUND($T48/$H$26,0),0)))&lt;=AC$10+IF(AND($R48&gt;=AC$15,AC$15&gt;0),AC$18,0),IF(AND(AC$7-ROUND(SUM($T$37:$T47)/$H$26,0)&gt;0,AC$7-ROUND(SUM($T$37:$T47)/$H$26,0)&lt;=ROUND($T48/$H$26,0)),ROUND((AC$7-ROUND(SUM($T$37:$T47)/$H$26,0))*AC$9/30,0),IF(AC$7-ROUND(SUM($T$37:$T47)/$H$26,0)&gt;ROUND($T48/$H$26,0),ROUND(AC$9/30*ROUND($T48/$H$26,0),0))), AC$10+ IF(AND($R48&gt;=AC$15,AC$15&gt;0),AC$18,0)-SUM(Z$37:Z47)),0)+IF(OR(AND($R48&lt;=DATE($Y$6+1,4,15),AC$15&lt;=DATE($Y$6+1,4,15),AC$15&gt;0,AC$7-ROUND(SUM($T$37:$T47)/$H$26,0)&gt;=ROUND($T48/$H$26,0)), AC$15&gt;$R48),0,IF(AND($R48&lt;=DATE($Y$6+1,4,15),AC$15&lt;=DATE($Y$6+1,4,15),AC$15&gt;0,AC$7-ROUND(SUM($T$37:$T47)/$H$26,0)&gt;0,AC$7-ROUND(SUM($T$37:$T47)/$H$26,0)&lt;ROUND($T48/$H$26,0)),(ROUND($T48/$H$26,0)-(AC$7-ROUND(SUM($T$37:$T47)/$H$26,0)))*ROUND(AC$16/30,0),IF(AND($R48&gt;=AC$15,AC$15&gt;0,$R48&lt;=DATE($Y$12+1,4,15)),IF(SUM(Z$37:Z47)+ROUND(IF(YEAR($R48)=$Y$12,AC$16,IF(YEAR($R48)=$Y$12+1,AC$17,0))/30*ROUND($T48/$H$26,0),0)&lt;=AC$10+IF(AND($R48&gt;=AC$15,AC$15&gt;0),AC$18,0),ROUND(IF(YEAR($R48)=$Y$12,AC$16,IF(YEAR($R48)=$Y$12+1,AC$17,0))/30*ROUND($T48/$H$26,0),0),AC$10+AC$18-SUM(Z$37:Z47)),0)))&gt;ROUND(ROUND(16*INDEX($AT$5:$AT$7,MATCH(YEAR($R48),$AS$5:$AS$7,0),1)-1,-3)/30*ROUND($T48/$H$26,0),0),ROUND(ROUND(16*INDEX($AT$5:$AT$7,MATCH(YEAR($R48),$AS$5:$AS$7,0),1)-1,-3)/30*ROUND($T48/$H$26,0),0), IF(AND(AC$8&lt;=$R48,$R48&lt;=DATE($Y$6+1,4,15)),IF(SUM(Z$37:Z47)+IF(AND(AC$7-ROUND(SUM($T$37:$T47)/$H$26,0)&gt;0,AC$7-ROUND(SUM($T$37:$T47)/$H$26,0)&lt;=ROUND($T48/$H$26,0)),ROUND((AC$7-ROUND(SUM($T$37:$T47)/$H$26,0))*AC$9/30,0),IF(AC$7-ROUND(SUM($T$37:$T47)/$H$26,0)&gt;ROUND($T48/$H$26,0),ROUND(AC$9/30*ROUND($T48/$H$26,0),0)))&lt;=AC$10+IF(AND($R48&gt;=AC$15,AC$15&gt;0),AC$18,0),IF(AND(AC$7-ROUND(SUM($T$37:$T47)/$H$26,0)&gt;0,AC$7-ROUND(SUM($T$37:$T47)/$H$26,0)&lt;=ROUND($T48/$H$26,0)),ROUND((AC$7-ROUND(SUM($T$37:$T47)/$H$26,0))*AC$9/30,0),IF(AC$7-ROUND(SUM($T$37:$T47)/$H$26,0)&gt;ROUND($T48/$H$26,0),ROUND(AC$9/30*ROUND($T48/$H$26,0),0))), AC$10+ IF(AND($R48&gt;=AC$15,AC$15&gt;0),AC$18,0)-SUM(Z$37:Z47)),0)+IF(OR(AND($R48&lt;=DATE($Y$6+1,4,15),AC$15&lt;=DATE($Y$6+1,4,15),AC$15&gt;0,AC$7-ROUND(SUM($T$37:$T47)/$H$26,0)&gt;=ROUND($T48/$H$26,0)), AC$15&gt;$R48),0,IF(AND($R48&lt;=DATE($Y$6+1,4,15),AC$15&lt;=DATE($Y$6+1,4,15),AC$15&gt;0,AC$7-ROUND(SUM($T$37:$T47)/$H$26,0)&gt;0,AC$7-ROUND(SUM($T$37:$T47)/$H$26,0)&lt;ROUND($T48/$H$26,0)),(ROUND($T48/$H$26,0)-(AC$7-ROUND(SUM($T$37:$T47)/$H$26,0)))*ROUND(AC$16/30,0),IF(AND($R48&gt;=AC$15,AC$15&gt;0,$R48&lt;=DATE($Y$12+1,4,15)),IF(SUM(Z$37:Z47)+ROUND(IF(YEAR($R48)=$Y$12,AC$16,IF(YEAR($R48)=$Y$12+1,AC$17,0))/30*ROUND($T48/$H$26,0),0)&lt;=AC$10+IF(AND($R48&gt;=AC$15,AC$15&gt;0),AC$18,0),ROUND(IF(YEAR($R48)=$Y$12,AC$16,IF(YEAR($R48)=$Y$12+1,AC$17,0))/30*ROUND($T48/$H$26,0),0),AC$10+AC$18-SUM(Z$37:Z47)),0)))))</f>
        <v>0</v>
      </c>
      <c r="AA48" s="97" t="str">
        <f t="shared" si="11"/>
        <v>No</v>
      </c>
      <c r="AB48" s="10">
        <f t="shared" si="12"/>
        <v>0</v>
      </c>
      <c r="AC48" s="19"/>
      <c r="AD48" s="10">
        <f t="shared" si="13"/>
        <v>0</v>
      </c>
      <c r="AE48" s="10">
        <f t="shared" si="14"/>
        <v>0</v>
      </c>
      <c r="AF48" s="10">
        <f t="shared" si="15"/>
        <v>0</v>
      </c>
      <c r="AG48" s="10">
        <f t="shared" si="16"/>
        <v>0</v>
      </c>
      <c r="AH48" s="10">
        <f t="shared" si="17"/>
        <v>0</v>
      </c>
      <c r="AI48" s="10">
        <f t="shared" si="18"/>
        <v>0</v>
      </c>
      <c r="AJ48" s="2">
        <f t="shared" si="19"/>
        <v>0</v>
      </c>
      <c r="AK48" s="3">
        <f t="shared" si="20"/>
        <v>0</v>
      </c>
      <c r="AL48" s="10">
        <f t="shared" si="21"/>
        <v>0</v>
      </c>
      <c r="AM48" s="10">
        <f t="shared" si="22"/>
        <v>0</v>
      </c>
      <c r="AN48" s="20"/>
      <c r="AO48" s="10">
        <f t="shared" si="23"/>
        <v>0</v>
      </c>
      <c r="AP48" s="11">
        <f t="shared" si="24"/>
        <v>0</v>
      </c>
      <c r="AQ48" s="10">
        <f t="shared" si="25"/>
        <v>0</v>
      </c>
      <c r="AR48" s="10">
        <f t="shared" si="26"/>
        <v>0</v>
      </c>
      <c r="AS48" s="10">
        <f t="shared" si="27"/>
        <v>0</v>
      </c>
      <c r="AT48" s="10">
        <f t="shared" si="28"/>
        <v>0</v>
      </c>
      <c r="AU48" s="10">
        <f t="shared" si="38"/>
        <v>0</v>
      </c>
      <c r="AV48" s="10">
        <f t="shared" si="29"/>
        <v>0</v>
      </c>
      <c r="AW48" s="2">
        <f t="shared" si="30"/>
        <v>0</v>
      </c>
      <c r="AX48" s="3">
        <f t="shared" si="39"/>
        <v>0</v>
      </c>
      <c r="AY48" s="10">
        <f t="shared" si="31"/>
        <v>0</v>
      </c>
      <c r="AZ48" s="19"/>
      <c r="BA48" s="19"/>
      <c r="BB48" s="19"/>
      <c r="BC48" s="19"/>
      <c r="BD48" s="10">
        <f t="shared" si="32"/>
        <v>0</v>
      </c>
      <c r="BE48" s="3">
        <f t="shared" si="33"/>
        <v>0</v>
      </c>
      <c r="BF48" s="3">
        <f t="shared" si="34"/>
        <v>0</v>
      </c>
      <c r="BG48" s="4">
        <f t="shared" si="35"/>
        <v>0</v>
      </c>
      <c r="BH48" s="68"/>
      <c r="BI48" s="115"/>
      <c r="BJ48" s="115"/>
      <c r="BK48" s="122"/>
      <c r="BL48" s="115"/>
      <c r="BM48" s="115"/>
      <c r="BN48" s="122"/>
      <c r="BO48" s="115"/>
      <c r="BP48" s="115"/>
      <c r="BQ48" s="122"/>
      <c r="BR48" s="115"/>
      <c r="BT48" s="90" t="s">
        <v>108</v>
      </c>
      <c r="BU48" s="91" t="s">
        <v>188</v>
      </c>
      <c r="BV48" s="112"/>
      <c r="BW48" s="113"/>
    </row>
    <row r="49" spans="1:75" ht="12.75" customHeight="1" x14ac:dyDescent="0.2">
      <c r="A49" s="48">
        <v>12</v>
      </c>
      <c r="B49" s="13">
        <f t="shared" si="36"/>
        <v>46387</v>
      </c>
      <c r="C49" s="98">
        <f>IF(OR($H$19=0,$H$20=0),0,IF(AND($H$19&gt;=EOMONTH($B49,-1)+1,$H$20&lt;=$B49),$H$25,IF(AND(EOMONTH($B49,-1)+1&gt;EOMONTH($H$19,0),$B49&lt;=EOMONTH($H$20,-1)),30-IF(OR($H$21=0,$H$22=0),0,IF(AND($B49=EOMONTH($H$21,0),$H$22&gt;$B49,$B49&gt;EOMONTH($H$19,0)),DAYS360($H$21,EOMONTH($H$21,0)+1),IF(AND($B49=EOMONTH($H$22,0),$B49&lt;$H$20,$H$21&lt;EOMONTH($B49,-1)+1),DAYS360(EOMONTH($H$22,-1)+1,$H$22+1),IF(AND(EOMONTH($B49,-1)+1&gt;EOMONTH($H$21,0),$B49&lt;=EOMONTH($H$22,-1)),30,IF(AND($B49=EOMONTH($H$21,0),$B49=EOMONTH($H$22,0)),$H$24,0))))),IF(AND($B49=EOMONTH($H$19,0),$B49&lt;$H$20),EOMONTH($H$19,0)-$H$19+IF(AND(MONTH($H$19)=2, DAY($H$19)=1,DAY(EOMONTH($H$19,0))=28),3,IF(AND(MONTH($H$19)=2, DAY($H$19)=1,DAY(EOMONTH($H$19,0))=29),2,IF(AND(DAY(EOMONTH($H$19,0))=31,DAY($H$19)=1),0,1)))-IF(AND($B49=EOMONTH($H$21,0),$H$22&gt;$B49,$H$20&gt;$B49),DAYS360($H$21,EOMONTH($H$21,0)+1),IF(AND($B49=EOMONTH($H$21,0),$B49=EOMONTH($H$22,0)),$H$24,0)),IF(AND($B49=EOMONTH($H$20,0)),$H$25-SUM($C$37:$C48),0)))))</f>
        <v>0</v>
      </c>
      <c r="D49" s="134"/>
      <c r="E49" s="144">
        <f>ROUND(IF(OR($H$19=0,$H$20=0),0,IF(AND($B49=EOMONTH($H$20,0)),$H$27-SUM($E$37:$E48),IF($C49=30,$H$18,IF($C49=31,$H$18+$H$26,$H$26*$C49)))),0)</f>
        <v>0</v>
      </c>
      <c r="F49" s="108">
        <f t="shared" si="1"/>
        <v>0</v>
      </c>
      <c r="G49" s="71">
        <f t="shared" si="37"/>
        <v>0</v>
      </c>
      <c r="H49" s="109">
        <f t="shared" si="2"/>
        <v>0</v>
      </c>
      <c r="I49" s="3">
        <f t="shared" si="3"/>
        <v>0</v>
      </c>
      <c r="J49" s="109">
        <f t="shared" si="4"/>
        <v>0</v>
      </c>
      <c r="K49" s="120"/>
      <c r="L49" s="109">
        <f t="shared" si="5"/>
        <v>0</v>
      </c>
      <c r="M49" s="10">
        <f t="shared" si="6"/>
        <v>0</v>
      </c>
      <c r="N49" s="133"/>
      <c r="O49" s="133"/>
      <c r="P49" s="18"/>
      <c r="Q49" s="31"/>
      <c r="R49" s="61"/>
      <c r="S49" s="1" t="str">
        <f>IF(OR($R49&lt;&gt;0,$T49&lt;&gt;0),1+MAX(S$37:S48),"")</f>
        <v/>
      </c>
      <c r="T49" s="115"/>
      <c r="U49" s="11">
        <f t="shared" si="7"/>
        <v>0</v>
      </c>
      <c r="V49" s="11">
        <f t="shared" si="8"/>
        <v>0</v>
      </c>
      <c r="W49" s="11">
        <f t="shared" si="9"/>
        <v>0</v>
      </c>
      <c r="X49" s="10">
        <f t="shared" si="10"/>
        <v>0</v>
      </c>
      <c r="Y49" s="10">
        <f>IF(OR($H$18=0,$T49=0),0,IF(IF(AND(AB$8&lt;=$R49,$R49&lt;=DATE($Y$6+1,4,15)),IF(SUM(Y$37:Y48)+IF(AND(AB$7-ROUND(SUM($T$37:$T48)/$H$26,0)&gt;0,AB$7-ROUND(SUM($T$37:$T48)/$H$26,0)&lt;=ROUND($T49/$H$26,0)),ROUND((AB$7-ROUND(SUM($T$37:$T48)/$H$26,0))*AB$9/30,0),IF(AB$7-ROUND(SUM($T$37:$T48)/$H$26,0)&gt;ROUND($T49/$H$26,0),ROUND(AB$9/30*ROUND($T49/$H$26,0),0)))&lt;=AB$10+IF(AND($R49&gt;=AB$15,AB$15&gt;0),AB$18,0),IF(AND(AB$7-ROUND(SUM($T$37:$T48)/$H$26,0)&gt;0,AB$7-ROUND(SUM($T$37:$T48)/$H$26,0)&lt;=ROUND($T49/$H$26,0)),ROUND((AB$7-ROUND(SUM($T$37:$T48)/$H$26,0))*AB$9/30,0),IF(AB$7-ROUND(SUM($T$37:$T48)/$H$26,0)&gt;ROUND($T49/$H$26,0),ROUND(AB$9/30*ROUND($T49/$H$26,0),0))), AB$10+ IF(AND($R49&gt;=AB$15,AB$15&gt;0),AB$18,0)-SUM(Y$37:Y48)),0)+IF(OR(AND($R49&lt;=DATE($Y$6+1,4,15),AB$15&lt;=DATE($Y$6+1,4,15),AB$15&gt;0,AB$7-ROUND(SUM($T$37:$T48)/$H$26,0)&gt;=ROUND($T49/$H$26,0)), AB$15&gt;$R49),0,IF(AND($R49&lt;=DATE($Y$6+1,4,15),AB$15&lt;=DATE($Y$6+1,4,15),AB$15&gt;0,AB$7-ROUND(SUM($T$37:$T48)/$H$26,0)&gt;0,AB$7-ROUND(SUM($T$37:$T48)/$H$26,0)&lt;ROUND($T49/$H$26,0)),(ROUND($T49/$H$26,0)-(AB$7-ROUND(SUM($T$37:$T48)/$H$26,0)))*ROUND(AB$16/30,0),IF(AND($R49&gt;=AB$15,AB$15&gt;0,$R49&lt;=DATE($Y$12+1,4,15)),IF(SUM(Y$37:Y48)+ROUND(IF(YEAR($R49)=$Y$12,AB$16,IF(YEAR($R49)=$Y$12+1,AB$17,0))/30*ROUND($T49/$H$26,0),0)&lt;=AB$10+IF(AND($R49&gt;=AB$15,AB$15&gt;0),AB$18,0),ROUND(IF(YEAR($R49)=$Y$12,AB$16,IF(YEAR($R49)=$Y$12+1,AB$17,0))/30*ROUND($T49/$H$26,0),0),AB$10+AB$18-SUM(Y$37:Y48)),0)))&gt;ROUND(ROUND(100*INDEX($AT$5:$AT$7,MATCH(YEAR($R49),$AS$5:$AS$7,0),1)-1,-3)/30*ROUND($T49/$H$26,0),0),ROUND(ROUND(100*INDEX($AT$5:$AT$7,MATCH(YEAR($R49),$AS$5:$AS$7,0),1)-1,-3)/30*ROUND($T49/$H$26,0),0), IF(AND(AB$8&lt;=$R49,$R49&lt;=DATE($Y$6+1,4,15)),IF(SUM(Y$37:Y48)+IF(AND(AB$7-ROUND(SUM($T$37:$T48)/$H$26,0)&gt;0,AB$7-ROUND(SUM($T$37:$T48)/$H$26,0)&lt;=ROUND($T49/$H$26,0)),ROUND((AB$7-ROUND(SUM($T$37:$T48)/$H$26,0))*AB$9/30,0),IF(AB$7-ROUND(SUM($T$37:$T48)/$H$26,0)&gt;ROUND($T49/$H$26,0),ROUND(AB$9/30*ROUND($T49/$H$26,0),0)))&lt;=AB$10+IF(AND($R49&gt;=AB$15,AB$15&gt;0),AB$18,0),IF(AND(AB$7-ROUND(SUM($T$37:$T48)/$H$26,0)&gt;0,AB$7-ROUND(SUM($T$37:$T48)/$H$26,0)&lt;=ROUND($T49/$H$26,0)),ROUND((AB$7-ROUND(SUM($T$37:$T48)/$H$26,0))*AB$9/30,0),IF(AB$7-ROUND(SUM($T$37:$T48)/$H$26,0)&gt;ROUND($T49/$H$26,0),ROUND(AB$9/30*ROUND($T49/$H$26,0),0))), AB$10+ IF(AND($R49&gt;=AB$15,AB$15&gt;0),AB$18,0)-SUM(Y$37:Y48)),0)+IF(OR(AND($R49&lt;=DATE($Y$6+1,4,15),AB$15&lt;=DATE($Y$6+1,4,15),AB$15&gt;0,AB$7-ROUND(SUM($T$37:$T48)/$H$26,0)&gt;=ROUND($T49/$H$26,0)), AB$15&gt;$R49),0,IF(AND($R49&lt;=DATE($Y$6+1,4,15),AB$15&lt;=DATE($Y$6+1,4,15),AB$15&gt;0,AB$7-ROUND(SUM($T$37:$T48)/$H$26,0)&gt;0,AB$7-ROUND(SUM($T$37:$T48)/$H$26,0)&lt;ROUND($T49/$H$26,0)),(ROUND($T49/$H$26,0)-(AB$7-ROUND(SUM($T$37:$T48)/$H$26,0)))*ROUND(AB$16/30,0),IF(AND($R49&gt;=AB$15,AB$15&gt;0,$R49&lt;=DATE($Y$12+1,4,15)),IF(SUM(Y$37:Y48)+ROUND(IF(YEAR($R49)=$Y$12,AB$16,IF(YEAR($R49)=$Y$12+1,AB$17,0))/30*ROUND($T49/$H$26,0),0)&lt;=AB$10+IF(AND($R49&gt;=AB$15,AB$15&gt;0),AB$18,0),ROUND(IF(YEAR($R49)=$Y$12,AB$16,IF(YEAR($R49)=$Y$12+1,AB$17,0))/30*ROUND($T49/$H$26,0),0),AB$10+AB$18-SUM(Y$37:Y48)),0)))))</f>
        <v>0</v>
      </c>
      <c r="Z49" s="10">
        <f>IF(OR($H$18=0,$T49=0),0,IF(IF(AND(AC$8&lt;=$R49,$R49&lt;=DATE($Y$6+1,4,15)),IF(SUM(Z$37:Z48)+IF(AND(AC$7-ROUND(SUM($T$37:$T48)/$H$26,0)&gt;0,AC$7-ROUND(SUM($T$37:$T48)/$H$26,0)&lt;=ROUND($T49/$H$26,0)),ROUND((AC$7-ROUND(SUM($T$37:$T48)/$H$26,0))*AC$9/30,0),IF(AC$7-ROUND(SUM($T$37:$T48)/$H$26,0)&gt;ROUND($T49/$H$26,0),ROUND(AC$9/30*ROUND($T49/$H$26,0),0)))&lt;=AC$10+IF(AND($R49&gt;=AC$15,AC$15&gt;0),AC$18,0),IF(AND(AC$7-ROUND(SUM($T$37:$T48)/$H$26,0)&gt;0,AC$7-ROUND(SUM($T$37:$T48)/$H$26,0)&lt;=ROUND($T49/$H$26,0)),ROUND((AC$7-ROUND(SUM($T$37:$T48)/$H$26,0))*AC$9/30,0),IF(AC$7-ROUND(SUM($T$37:$T48)/$H$26,0)&gt;ROUND($T49/$H$26,0),ROUND(AC$9/30*ROUND($T49/$H$26,0),0))), AC$10+ IF(AND($R49&gt;=AC$15,AC$15&gt;0),AC$18,0)-SUM(Z$37:Z48)),0)+IF(OR(AND($R49&lt;=DATE($Y$6+1,4,15),AC$15&lt;=DATE($Y$6+1,4,15),AC$15&gt;0,AC$7-ROUND(SUM($T$37:$T48)/$H$26,0)&gt;=ROUND($T49/$H$26,0)), AC$15&gt;$R49),0,IF(AND($R49&lt;=DATE($Y$6+1,4,15),AC$15&lt;=DATE($Y$6+1,4,15),AC$15&gt;0,AC$7-ROUND(SUM($T$37:$T48)/$H$26,0)&gt;0,AC$7-ROUND(SUM($T$37:$T48)/$H$26,0)&lt;ROUND($T49/$H$26,0)),(ROUND($T49/$H$26,0)-(AC$7-ROUND(SUM($T$37:$T48)/$H$26,0)))*ROUND(AC$16/30,0),IF(AND($R49&gt;=AC$15,AC$15&gt;0,$R49&lt;=DATE($Y$12+1,4,15)),IF(SUM(Z$37:Z48)+ROUND(IF(YEAR($R49)=$Y$12,AC$16,IF(YEAR($R49)=$Y$12+1,AC$17,0))/30*ROUND($T49/$H$26,0),0)&lt;=AC$10+IF(AND($R49&gt;=AC$15,AC$15&gt;0),AC$18,0),ROUND(IF(YEAR($R49)=$Y$12,AC$16,IF(YEAR($R49)=$Y$12+1,AC$17,0))/30*ROUND($T49/$H$26,0),0),AC$10+AC$18-SUM(Z$37:Z48)),0)))&gt;ROUND(ROUND(16*INDEX($AT$5:$AT$7,MATCH(YEAR($R49),$AS$5:$AS$7,0),1)-1,-3)/30*ROUND($T49/$H$26,0),0),ROUND(ROUND(16*INDEX($AT$5:$AT$7,MATCH(YEAR($R49),$AS$5:$AS$7,0),1)-1,-3)/30*ROUND($T49/$H$26,0),0), IF(AND(AC$8&lt;=$R49,$R49&lt;=DATE($Y$6+1,4,15)),IF(SUM(Z$37:Z48)+IF(AND(AC$7-ROUND(SUM($T$37:$T48)/$H$26,0)&gt;0,AC$7-ROUND(SUM($T$37:$T48)/$H$26,0)&lt;=ROUND($T49/$H$26,0)),ROUND((AC$7-ROUND(SUM($T$37:$T48)/$H$26,0))*AC$9/30,0),IF(AC$7-ROUND(SUM($T$37:$T48)/$H$26,0)&gt;ROUND($T49/$H$26,0),ROUND(AC$9/30*ROUND($T49/$H$26,0),0)))&lt;=AC$10+IF(AND($R49&gt;=AC$15,AC$15&gt;0),AC$18,0),IF(AND(AC$7-ROUND(SUM($T$37:$T48)/$H$26,0)&gt;0,AC$7-ROUND(SUM($T$37:$T48)/$H$26,0)&lt;=ROUND($T49/$H$26,0)),ROUND((AC$7-ROUND(SUM($T$37:$T48)/$H$26,0))*AC$9/30,0),IF(AC$7-ROUND(SUM($T$37:$T48)/$H$26,0)&gt;ROUND($T49/$H$26,0),ROUND(AC$9/30*ROUND($T49/$H$26,0),0))), AC$10+ IF(AND($R49&gt;=AC$15,AC$15&gt;0),AC$18,0)-SUM(Z$37:Z48)),0)+IF(OR(AND($R49&lt;=DATE($Y$6+1,4,15),AC$15&lt;=DATE($Y$6+1,4,15),AC$15&gt;0,AC$7-ROUND(SUM($T$37:$T48)/$H$26,0)&gt;=ROUND($T49/$H$26,0)), AC$15&gt;$R49),0,IF(AND($R49&lt;=DATE($Y$6+1,4,15),AC$15&lt;=DATE($Y$6+1,4,15),AC$15&gt;0,AC$7-ROUND(SUM($T$37:$T48)/$H$26,0)&gt;0,AC$7-ROUND(SUM($T$37:$T48)/$H$26,0)&lt;ROUND($T49/$H$26,0)),(ROUND($T49/$H$26,0)-(AC$7-ROUND(SUM($T$37:$T48)/$H$26,0)))*ROUND(AC$16/30,0),IF(AND($R49&gt;=AC$15,AC$15&gt;0,$R49&lt;=DATE($Y$12+1,4,15)),IF(SUM(Z$37:Z48)+ROUND(IF(YEAR($R49)=$Y$12,AC$16,IF(YEAR($R49)=$Y$12+1,AC$17,0))/30*ROUND($T49/$H$26,0),0)&lt;=AC$10+IF(AND($R49&gt;=AC$15,AC$15&gt;0),AC$18,0),ROUND(IF(YEAR($R49)=$Y$12,AC$16,IF(YEAR($R49)=$Y$12+1,AC$17,0))/30*ROUND($T49/$H$26,0),0),AC$10+AC$18-SUM(Z$37:Z48)),0)))))</f>
        <v>0</v>
      </c>
      <c r="AA49" s="97" t="str">
        <f t="shared" si="11"/>
        <v>No</v>
      </c>
      <c r="AB49" s="10">
        <f t="shared" si="12"/>
        <v>0</v>
      </c>
      <c r="AC49" s="19"/>
      <c r="AD49" s="10">
        <f t="shared" si="13"/>
        <v>0</v>
      </c>
      <c r="AE49" s="10">
        <f t="shared" si="14"/>
        <v>0</v>
      </c>
      <c r="AF49" s="10">
        <f t="shared" si="15"/>
        <v>0</v>
      </c>
      <c r="AG49" s="10">
        <f t="shared" si="16"/>
        <v>0</v>
      </c>
      <c r="AH49" s="10">
        <f t="shared" si="17"/>
        <v>0</v>
      </c>
      <c r="AI49" s="10">
        <f t="shared" si="18"/>
        <v>0</v>
      </c>
      <c r="AJ49" s="2">
        <f t="shared" si="19"/>
        <v>0</v>
      </c>
      <c r="AK49" s="3">
        <f t="shared" si="20"/>
        <v>0</v>
      </c>
      <c r="AL49" s="10">
        <f t="shared" si="21"/>
        <v>0</v>
      </c>
      <c r="AM49" s="10">
        <f t="shared" si="22"/>
        <v>0</v>
      </c>
      <c r="AN49" s="20"/>
      <c r="AO49" s="10">
        <f t="shared" si="23"/>
        <v>0</v>
      </c>
      <c r="AP49" s="11">
        <f t="shared" si="24"/>
        <v>0</v>
      </c>
      <c r="AQ49" s="10">
        <f t="shared" si="25"/>
        <v>0</v>
      </c>
      <c r="AR49" s="10">
        <f t="shared" si="26"/>
        <v>0</v>
      </c>
      <c r="AS49" s="10">
        <f t="shared" si="27"/>
        <v>0</v>
      </c>
      <c r="AT49" s="10">
        <f t="shared" si="28"/>
        <v>0</v>
      </c>
      <c r="AU49" s="10">
        <f t="shared" si="38"/>
        <v>0</v>
      </c>
      <c r="AV49" s="10">
        <f t="shared" si="29"/>
        <v>0</v>
      </c>
      <c r="AW49" s="2">
        <f t="shared" si="30"/>
        <v>0</v>
      </c>
      <c r="AX49" s="3">
        <f t="shared" si="39"/>
        <v>0</v>
      </c>
      <c r="AY49" s="10">
        <f t="shared" si="31"/>
        <v>0</v>
      </c>
      <c r="AZ49" s="19"/>
      <c r="BA49" s="19"/>
      <c r="BB49" s="19"/>
      <c r="BC49" s="19"/>
      <c r="BD49" s="10">
        <f t="shared" si="32"/>
        <v>0</v>
      </c>
      <c r="BE49" s="3">
        <f t="shared" si="33"/>
        <v>0</v>
      </c>
      <c r="BF49" s="3">
        <f t="shared" si="34"/>
        <v>0</v>
      </c>
      <c r="BG49" s="4">
        <f t="shared" si="35"/>
        <v>0</v>
      </c>
      <c r="BH49" s="68"/>
      <c r="BI49" s="115"/>
      <c r="BJ49" s="115"/>
      <c r="BK49" s="122"/>
      <c r="BL49" s="115"/>
      <c r="BM49" s="115"/>
      <c r="BN49" s="122"/>
      <c r="BO49" s="115"/>
      <c r="BP49" s="115"/>
      <c r="BQ49" s="122"/>
      <c r="BR49" s="115"/>
      <c r="BT49" s="90" t="s">
        <v>108</v>
      </c>
      <c r="BU49" s="91" t="s">
        <v>189</v>
      </c>
      <c r="BV49" s="112"/>
      <c r="BW49" s="113"/>
    </row>
    <row r="50" spans="1:75" ht="12.75" customHeight="1" x14ac:dyDescent="0.2">
      <c r="A50" s="48">
        <v>13</v>
      </c>
      <c r="B50" s="13"/>
      <c r="C50" s="98"/>
      <c r="D50" s="135"/>
      <c r="E50" s="144"/>
      <c r="F50" s="105"/>
      <c r="G50" s="71"/>
      <c r="H50" s="10"/>
      <c r="I50" s="65"/>
      <c r="J50" s="10"/>
      <c r="K50" s="66"/>
      <c r="L50" s="10"/>
      <c r="M50" s="10"/>
      <c r="N50" s="118"/>
      <c r="O50" s="118"/>
      <c r="P50" s="18"/>
      <c r="Q50" s="31"/>
      <c r="R50" s="61"/>
      <c r="S50" s="1"/>
      <c r="T50" s="115"/>
      <c r="U50" s="11"/>
      <c r="V50" s="11"/>
      <c r="W50" s="11"/>
      <c r="X50" s="10"/>
      <c r="Y50" s="10"/>
      <c r="Z50" s="10"/>
      <c r="AA50" s="97"/>
      <c r="AB50" s="10"/>
      <c r="AC50" s="19"/>
      <c r="AD50" s="49"/>
      <c r="AE50" s="10"/>
      <c r="AF50" s="10"/>
      <c r="AG50" s="10"/>
      <c r="AH50" s="49"/>
      <c r="AI50" s="10"/>
      <c r="AJ50" s="50"/>
      <c r="AK50" s="51"/>
      <c r="AL50" s="10"/>
      <c r="AM50" s="10"/>
      <c r="AN50" s="20"/>
      <c r="AO50" s="10"/>
      <c r="AP50" s="11"/>
      <c r="AQ50" s="10"/>
      <c r="AR50" s="10"/>
      <c r="AS50" s="10"/>
      <c r="AT50" s="10"/>
      <c r="AU50" s="10"/>
      <c r="AV50" s="10"/>
      <c r="AW50" s="50"/>
      <c r="AX50" s="3"/>
      <c r="AY50" s="49"/>
      <c r="AZ50" s="104"/>
      <c r="BA50" s="104"/>
      <c r="BB50" s="104"/>
      <c r="BC50" s="104"/>
      <c r="BD50" s="99"/>
      <c r="BE50" s="106"/>
      <c r="BF50" s="106"/>
      <c r="BG50" s="107"/>
      <c r="BH50" s="68"/>
      <c r="BI50" s="115"/>
      <c r="BJ50" s="115"/>
      <c r="BK50" s="122"/>
      <c r="BL50" s="115"/>
      <c r="BM50" s="115"/>
      <c r="BN50" s="122"/>
      <c r="BO50" s="115"/>
      <c r="BP50" s="115"/>
      <c r="BQ50" s="122"/>
      <c r="BR50" s="115"/>
      <c r="BT50" s="90" t="s">
        <v>108</v>
      </c>
      <c r="BU50" s="91" t="s">
        <v>190</v>
      </c>
      <c r="BV50" s="112"/>
      <c r="BW50" s="113"/>
    </row>
    <row r="51" spans="1:75" ht="12.75" customHeight="1" x14ac:dyDescent="0.2">
      <c r="A51" s="48">
        <v>14</v>
      </c>
      <c r="B51" s="14" t="s">
        <v>0</v>
      </c>
      <c r="C51" s="1">
        <f>SUM(C38:C50)</f>
        <v>0</v>
      </c>
      <c r="D51" s="10">
        <f>SUM(D38:D50)</f>
        <v>0</v>
      </c>
      <c r="E51" s="145">
        <f>SUM(E38:E50)</f>
        <v>0</v>
      </c>
      <c r="F51" s="10">
        <f>SUM(F38:F50)</f>
        <v>0</v>
      </c>
      <c r="G51" s="2"/>
      <c r="H51" s="10">
        <f>SUM(H38:H50)</f>
        <v>0</v>
      </c>
      <c r="I51" s="3"/>
      <c r="J51" s="10">
        <f>SUM(J38:J50)</f>
        <v>0</v>
      </c>
      <c r="K51" s="4"/>
      <c r="L51" s="10">
        <f>SUM(L38:L50)</f>
        <v>0</v>
      </c>
      <c r="M51" s="10">
        <f>SUM(M38:M50)</f>
        <v>0</v>
      </c>
      <c r="N51" s="10"/>
      <c r="O51" s="10"/>
      <c r="P51" s="8"/>
      <c r="Q51" s="8"/>
      <c r="R51" s="9"/>
      <c r="S51" s="42">
        <f>MAX(S38:S50)</f>
        <v>0</v>
      </c>
      <c r="T51" s="10">
        <f t="shared" ref="T51:X51" si="40">SUM(T38:T50)</f>
        <v>0</v>
      </c>
      <c r="U51" s="10">
        <f t="shared" si="40"/>
        <v>0</v>
      </c>
      <c r="V51" s="10">
        <f t="shared" si="40"/>
        <v>0</v>
      </c>
      <c r="W51" s="10">
        <f t="shared" si="40"/>
        <v>0</v>
      </c>
      <c r="X51" s="10">
        <f t="shared" si="40"/>
        <v>0</v>
      </c>
      <c r="Y51" s="10">
        <f t="shared" ref="Y51:Z51" si="41">SUM(Y38:Y50)</f>
        <v>0</v>
      </c>
      <c r="Z51" s="10">
        <f t="shared" si="41"/>
        <v>0</v>
      </c>
      <c r="AA51" s="10"/>
      <c r="AB51" s="10">
        <f t="shared" ref="AB51:AH51" si="42">SUM(AB38:AB50)</f>
        <v>0</v>
      </c>
      <c r="AC51" s="10">
        <f>SUM(AC38:AC50)</f>
        <v>0</v>
      </c>
      <c r="AD51" s="10">
        <f>SUM(AD38:AD50)</f>
        <v>0</v>
      </c>
      <c r="AE51" s="10">
        <f t="shared" si="42"/>
        <v>0</v>
      </c>
      <c r="AF51" s="10"/>
      <c r="AG51" s="10"/>
      <c r="AH51" s="10">
        <f t="shared" si="42"/>
        <v>0</v>
      </c>
      <c r="AI51" s="10">
        <f>SUM(AI38:AI50)</f>
        <v>0</v>
      </c>
      <c r="AJ51" s="2"/>
      <c r="AK51" s="3"/>
      <c r="AL51" s="10">
        <f>SUM(AL38:AL50)</f>
        <v>0</v>
      </c>
      <c r="AM51" s="10">
        <f>SUM(AM38:AM50)</f>
        <v>0</v>
      </c>
      <c r="AN51" s="4"/>
      <c r="AO51" s="10">
        <f>SUM(AO38:AO50)</f>
        <v>0</v>
      </c>
      <c r="AP51" s="10">
        <f t="shared" ref="AP51:AV51" si="43">SUM(AP38:AP50)</f>
        <v>0</v>
      </c>
      <c r="AQ51" s="10">
        <f t="shared" si="43"/>
        <v>0</v>
      </c>
      <c r="AR51" s="10">
        <f t="shared" si="43"/>
        <v>0</v>
      </c>
      <c r="AS51" s="10">
        <f t="shared" si="43"/>
        <v>0</v>
      </c>
      <c r="AT51" s="10">
        <f t="shared" si="43"/>
        <v>0</v>
      </c>
      <c r="AU51" s="10"/>
      <c r="AV51" s="10">
        <f t="shared" si="43"/>
        <v>0</v>
      </c>
      <c r="AW51" s="2"/>
      <c r="AX51" s="7"/>
      <c r="AY51" s="10">
        <f>SUM(AY38:AY50)</f>
        <v>0</v>
      </c>
      <c r="AZ51" s="10">
        <f t="shared" ref="AZ51:BD51" si="44">SUM(AZ38:AZ50)</f>
        <v>0</v>
      </c>
      <c r="BA51" s="10">
        <f t="shared" si="44"/>
        <v>0</v>
      </c>
      <c r="BB51" s="10">
        <f t="shared" si="44"/>
        <v>0</v>
      </c>
      <c r="BC51" s="10">
        <f t="shared" si="44"/>
        <v>0</v>
      </c>
      <c r="BD51" s="10">
        <f t="shared" si="44"/>
        <v>0</v>
      </c>
      <c r="BE51" s="3"/>
      <c r="BF51" s="3"/>
      <c r="BG51" s="3"/>
      <c r="BH51" s="10"/>
      <c r="BI51" s="121"/>
      <c r="BJ51" s="121"/>
      <c r="BK51" s="121"/>
      <c r="BL51" s="121"/>
      <c r="BM51" s="121"/>
      <c r="BN51" s="121"/>
      <c r="BO51" s="121"/>
      <c r="BP51" s="121"/>
      <c r="BQ51" s="121"/>
      <c r="BR51" s="121"/>
      <c r="BT51" s="90" t="s">
        <v>108</v>
      </c>
      <c r="BU51" s="91" t="s">
        <v>191</v>
      </c>
      <c r="BV51" s="112"/>
      <c r="BW51" s="113"/>
    </row>
    <row r="52" spans="1:75" ht="12.75" customHeight="1" x14ac:dyDescent="0.2">
      <c r="A52" s="48"/>
      <c r="D52" s="40" t="str">
        <f>IF($H$16="","",IF(D$51&lt;&gt;$H$16,"ERROR",""))</f>
        <v/>
      </c>
      <c r="E52" s="40" t="str">
        <f>IF($H$27="","",IF(E$51&lt;&gt;$H$27,"ERROR",""))</f>
        <v/>
      </c>
      <c r="S52" s="40" t="str">
        <f>IF(OR(T$51&gt;$E$51,T$51+$AP$51&gt;$H$16),"ERROR","")</f>
        <v/>
      </c>
      <c r="T52" s="40" t="str">
        <f>IF(U$51&gt;$H$51,"ERROR","")</f>
        <v/>
      </c>
      <c r="U52" s="40" t="str">
        <f>IF(V$51&gt;$J$51,"ERROR","")</f>
        <v/>
      </c>
      <c r="V52" s="40" t="str">
        <f>IF(W$51&gt;$L$51,"ERROR","")</f>
        <v/>
      </c>
      <c r="W52" s="40" t="str">
        <f>IF(X$51&gt;$M$51,"ERROR","")</f>
        <v/>
      </c>
      <c r="AH52" s="351" t="str">
        <f>IF($AJ$52="","","Rtf a Reintegrar por el Mes de Diciembre")</f>
        <v/>
      </c>
      <c r="AI52" s="351"/>
      <c r="AJ52" s="352" t="str">
        <f>IF(AJ50=0,"",IF(AND((ROUND(ROUND(IF(AJ50&lt;=95,0,IF(AND(AJ50&gt;95,AJ50&lt;=150),(AJ50-95)*19%,IF(AND(AJ50&gt;150,AJ50&lt;=360),(AJ50-150)*28%+10,IF(AND(AJ50&gt;360,AJ50&lt;=640),(AJ50-360)*33%+69,IF(AND(AJ50&gt;640,AJ50&lt;=945),(AJ50-640)*35%+162,IF(AND(AJ50&gt;945,AJ50&lt;=2300),(AJ50-945)*37%+268,(AJ50-2300)*39%+770)))))),2)/AJ50,4)*SUM($AI$49:$AI$50)+100&lt;SUM($AL$49:$AL50))),ROUND(ROUND(IF(AJ50&lt;=95,0,IF(AND(AJ50&gt;95,AJ50&lt;=150),(AJ50-95)*19%,IF(AND(AJ50&gt;150,AJ50&lt;=360),(AJ50-150)*28%+10,IF(AND(AJ50&gt;360,AJ50&lt;=640),(AJ50-360)*33%+69,IF(AND(AJ50&gt;640,AJ50&lt;=945),(AJ50-640)*35%+162,IF(AND(AJ50&gt;945,AJ50&lt;=2300),(AJ50-945)*37%+268,(AJ50-2300)*39%+770)))))),2)/AJ50,4),""))</f>
        <v/>
      </c>
      <c r="AK52" s="353" t="str">
        <f>IF($AJ$52="","",ROUND(SUM($AI$49:$AI$50)*$AJ$52,0)-SUM($AL$49:$AL50))</f>
        <v/>
      </c>
      <c r="AM52" s="48"/>
      <c r="AN52" s="48"/>
      <c r="AO52" s="48"/>
      <c r="AP52" s="48"/>
      <c r="AQ52" s="48"/>
      <c r="AR52" s="48"/>
      <c r="AS52" s="48"/>
      <c r="AT52" s="48"/>
      <c r="AU52" s="48"/>
      <c r="AV52" s="48"/>
      <c r="AW52" s="48"/>
      <c r="AX52" s="52" t="str">
        <f>IF(AND($AC$50=0,$AY$50&lt;&gt;0),"Recuerde Notificar la Variación de la Rf Contingente de la 2a. Quincena de Diciembre","")</f>
        <v/>
      </c>
      <c r="BT52" s="90" t="s">
        <v>108</v>
      </c>
      <c r="BU52" s="91" t="s">
        <v>193</v>
      </c>
      <c r="BV52" s="112"/>
      <c r="BW52" s="113"/>
    </row>
    <row r="53" spans="1:75" ht="12.75" customHeight="1" x14ac:dyDescent="0.2">
      <c r="E53" s="40"/>
      <c r="S53" s="40"/>
      <c r="T53" s="40"/>
      <c r="U53" s="40"/>
      <c r="V53" s="40"/>
      <c r="W53" s="40"/>
      <c r="AH53" s="351"/>
      <c r="AI53" s="351"/>
      <c r="AJ53" s="352"/>
      <c r="AK53" s="353"/>
      <c r="AM53" s="48"/>
      <c r="AN53" s="48"/>
      <c r="AO53" s="48"/>
      <c r="AP53" s="48"/>
      <c r="AQ53" s="48"/>
      <c r="AR53" s="48"/>
      <c r="AS53" s="48"/>
      <c r="AT53" s="48"/>
      <c r="AU53" s="48"/>
      <c r="AV53" s="48"/>
      <c r="AW53" s="48"/>
      <c r="AX53" s="52"/>
      <c r="BT53" s="90" t="s">
        <v>108</v>
      </c>
      <c r="BU53" s="91" t="s">
        <v>192</v>
      </c>
      <c r="BV53" s="112"/>
      <c r="BW53" s="113"/>
    </row>
    <row r="54" spans="1:75" ht="12.75" customHeight="1" x14ac:dyDescent="0.2">
      <c r="E54" s="41" t="str">
        <f>IF(E$52="ERROR",$H$27-E$51,"")</f>
        <v/>
      </c>
      <c r="S54" s="41" t="str">
        <f>IF(T$51&gt;$E$51,$E$51-T$51,IF(T$51+$AP$51&gt;$H$16,$H$16-(T$51+$AP$51),""))</f>
        <v/>
      </c>
      <c r="T54" s="41" t="str">
        <f>IF($H$51-U$51=0,"",IF($T$51&gt;=$E$51,$H$51-U$51,""))</f>
        <v/>
      </c>
      <c r="U54" s="41" t="str">
        <f>IF($J$51-V$51=0,"",IF($T$51&gt;=$E$51,$J$51-V$51,""))</f>
        <v/>
      </c>
      <c r="V54" s="41" t="str">
        <f>IF($L$51-W$51=0,"",IF($T$51&gt;=$E$51,$L$51-W$51,""))</f>
        <v/>
      </c>
      <c r="W54" s="41" t="str">
        <f>IF(M$51-X$51=0,"",IF($T$51&gt;=$E$51,M$51-X$51,""))</f>
        <v/>
      </c>
      <c r="AH54" s="351"/>
      <c r="AI54" s="351"/>
      <c r="AJ54" s="352"/>
      <c r="AK54" s="353"/>
      <c r="AV54" s="63"/>
      <c r="BT54" s="90" t="s">
        <v>108</v>
      </c>
      <c r="BU54" s="91" t="s">
        <v>170</v>
      </c>
      <c r="BV54" s="112"/>
      <c r="BW54" s="113"/>
    </row>
    <row r="55" spans="1:75" ht="12.75" customHeight="1" x14ac:dyDescent="0.2">
      <c r="BT55" s="90" t="s">
        <v>108</v>
      </c>
      <c r="BU55" s="91" t="s">
        <v>171</v>
      </c>
      <c r="BV55" s="112"/>
      <c r="BW55" s="113"/>
    </row>
    <row r="56" spans="1:75" ht="12.75" customHeight="1" x14ac:dyDescent="0.2">
      <c r="BT56" s="90" t="s">
        <v>108</v>
      </c>
      <c r="BU56" s="91" t="s">
        <v>172</v>
      </c>
      <c r="BV56" s="112"/>
      <c r="BW56" s="113"/>
    </row>
    <row r="57" spans="1:75" ht="12.75" customHeight="1" x14ac:dyDescent="0.2">
      <c r="BT57" s="90" t="s">
        <v>108</v>
      </c>
      <c r="BU57" s="91" t="s">
        <v>173</v>
      </c>
      <c r="BV57" s="112"/>
      <c r="BW57" s="113"/>
    </row>
    <row r="58" spans="1:75" ht="12.75" customHeight="1" x14ac:dyDescent="0.2">
      <c r="AH58" s="63"/>
      <c r="BT58" s="90" t="s">
        <v>108</v>
      </c>
      <c r="BU58" s="91" t="s">
        <v>174</v>
      </c>
      <c r="BV58" s="112"/>
      <c r="BW58" s="113"/>
    </row>
    <row r="59" spans="1:75" ht="12.75" customHeight="1" x14ac:dyDescent="0.2">
      <c r="AJ59" s="72"/>
      <c r="BT59" s="90" t="s">
        <v>108</v>
      </c>
      <c r="BU59" s="91" t="s">
        <v>175</v>
      </c>
      <c r="BV59" s="112"/>
      <c r="BW59" s="113"/>
    </row>
    <row r="60" spans="1:75" ht="12.75" customHeight="1" x14ac:dyDescent="0.2">
      <c r="AH60" s="63"/>
      <c r="BT60" s="90" t="s">
        <v>108</v>
      </c>
      <c r="BU60" s="91" t="s">
        <v>176</v>
      </c>
      <c r="BV60" s="112"/>
      <c r="BW60" s="113"/>
    </row>
    <row r="61" spans="1:75" ht="12.75" customHeight="1" x14ac:dyDescent="0.2">
      <c r="BT61" s="90" t="s">
        <v>108</v>
      </c>
      <c r="BU61" s="91" t="s">
        <v>177</v>
      </c>
      <c r="BV61" s="112"/>
      <c r="BW61" s="113"/>
    </row>
    <row r="62" spans="1:75" ht="12.75" customHeight="1" x14ac:dyDescent="0.2">
      <c r="BT62" s="90" t="s">
        <v>108</v>
      </c>
      <c r="BU62" s="91" t="s">
        <v>178</v>
      </c>
      <c r="BV62" s="112"/>
      <c r="BW62" s="113"/>
    </row>
    <row r="63" spans="1:75" ht="12.75" customHeight="1" x14ac:dyDescent="0.2">
      <c r="BT63" s="90" t="s">
        <v>108</v>
      </c>
      <c r="BU63" s="91" t="s">
        <v>179</v>
      </c>
      <c r="BV63" s="112"/>
      <c r="BW63" s="113"/>
    </row>
    <row r="64" spans="1:75" ht="12.75" customHeight="1" x14ac:dyDescent="0.2">
      <c r="BT64" s="90" t="s">
        <v>108</v>
      </c>
      <c r="BU64" s="91" t="s">
        <v>180</v>
      </c>
      <c r="BV64" s="112"/>
      <c r="BW64" s="113"/>
    </row>
    <row r="65" spans="72:75" ht="12.75" customHeight="1" x14ac:dyDescent="0.2">
      <c r="BT65" s="90" t="s">
        <v>108</v>
      </c>
      <c r="BU65" s="91" t="s">
        <v>181</v>
      </c>
      <c r="BV65" s="112"/>
      <c r="BW65" s="113"/>
    </row>
    <row r="66" spans="72:75" ht="12.75" customHeight="1" x14ac:dyDescent="0.2">
      <c r="BT66" s="90" t="s">
        <v>108</v>
      </c>
      <c r="BU66" s="91" t="s">
        <v>182</v>
      </c>
      <c r="BV66" s="112"/>
    </row>
    <row r="69" spans="72:75" ht="12.75" customHeight="1" x14ac:dyDescent="0.2">
      <c r="BT69" s="5"/>
      <c r="BU69" s="5"/>
      <c r="BV69" s="5"/>
    </row>
    <row r="70" spans="72:75" ht="12.75" customHeight="1" x14ac:dyDescent="0.2">
      <c r="BT70" s="5"/>
      <c r="BU70" s="5"/>
      <c r="BV70" s="5"/>
    </row>
    <row r="71" spans="72:75" ht="12.75" customHeight="1" x14ac:dyDescent="0.2">
      <c r="BT71" s="5"/>
      <c r="BU71" s="5"/>
      <c r="BV71" s="5"/>
    </row>
    <row r="72" spans="72:75" ht="12.75" customHeight="1" x14ac:dyDescent="0.2">
      <c r="BT72" s="5"/>
      <c r="BU72" s="5"/>
      <c r="BV72" s="5"/>
    </row>
    <row r="73" spans="72:75" ht="12.75" customHeight="1" x14ac:dyDescent="0.2">
      <c r="BT73" s="5"/>
      <c r="BU73" s="5"/>
      <c r="BV73" s="5"/>
    </row>
    <row r="74" spans="72:75" ht="12.75" customHeight="1" x14ac:dyDescent="0.2">
      <c r="BT74" s="5"/>
      <c r="BU74" s="5"/>
      <c r="BV74" s="5"/>
    </row>
    <row r="75" spans="72:75" ht="12.75" customHeight="1" x14ac:dyDescent="0.2">
      <c r="BT75" s="5"/>
      <c r="BU75" s="5"/>
      <c r="BV75" s="5"/>
    </row>
  </sheetData>
  <sheetProtection formatCells="0" insertColumns="0" insertRows="0" deleteColumns="0" deleteRows="0" sort="0" autoFilter="0"/>
  <sortState xmlns:xlrd2="http://schemas.microsoft.com/office/spreadsheetml/2017/richdata2" ref="BV6:BV30">
    <sortCondition ref="BV6:BV30"/>
  </sortState>
  <dataConsolidate/>
  <customSheetViews>
    <customSheetView guid="{9B36FABE-C330-460C-9325-9D02E13CC548}" showGridLines="0" fitToPage="1">
      <pageMargins left="0.19685039370078741" right="0.19685039370078741" top="0.59055118110236227" bottom="0.39370078740157483" header="0.19685039370078741" footer="0.19685039370078741"/>
      <printOptions horizontalCentered="1"/>
      <pageSetup paperSize="5" scale="50" orientation="landscape" r:id="rId1"/>
      <headerFooter>
        <oddHeader>&amp;RPágina &amp;P de &amp;N
&amp;D  &amp;T</oddHeader>
        <oddFooter>&amp;F</oddFooter>
      </headerFooter>
    </customSheetView>
  </customSheetViews>
  <mergeCells count="173">
    <mergeCell ref="AS36:AS37"/>
    <mergeCell ref="AT36:AT37"/>
    <mergeCell ref="AH52:AI54"/>
    <mergeCell ref="AJ52:AJ54"/>
    <mergeCell ref="AK52:AK54"/>
    <mergeCell ref="AD9:AD10"/>
    <mergeCell ref="AG9:AG10"/>
    <mergeCell ref="AO4:AO5"/>
    <mergeCell ref="AP4:AP5"/>
    <mergeCell ref="AQ4:AQ5"/>
    <mergeCell ref="AM36:AM37"/>
    <mergeCell ref="AO36:AO37"/>
    <mergeCell ref="AH35:AH37"/>
    <mergeCell ref="AN36:AN37"/>
    <mergeCell ref="AM15:AN15"/>
    <mergeCell ref="AL36:AL37"/>
    <mergeCell ref="AK36:AK37"/>
    <mergeCell ref="AE36:AE37"/>
    <mergeCell ref="AF36:AF37"/>
    <mergeCell ref="AG36:AG37"/>
    <mergeCell ref="AL4:AL5"/>
    <mergeCell ref="AM6:AN6"/>
    <mergeCell ref="AG6:AG8"/>
    <mergeCell ref="AM12:AN12"/>
    <mergeCell ref="AD18:AD19"/>
    <mergeCell ref="Z15:AA15"/>
    <mergeCell ref="Z16:AA16"/>
    <mergeCell ref="AD6:AD8"/>
    <mergeCell ref="Z6:AA6"/>
    <mergeCell ref="Z36:Z37"/>
    <mergeCell ref="AD4:AG5"/>
    <mergeCell ref="AM4:AN5"/>
    <mergeCell ref="Y11:AG11"/>
    <mergeCell ref="AD12:AD13"/>
    <mergeCell ref="Z14:AA14"/>
    <mergeCell ref="AD14:AD15"/>
    <mergeCell ref="AA36:AB37"/>
    <mergeCell ref="Z13:AA13"/>
    <mergeCell ref="Y4:Y5"/>
    <mergeCell ref="AW17:AZ17"/>
    <mergeCell ref="AW18:AZ20"/>
    <mergeCell ref="BC36:BC37"/>
    <mergeCell ref="BD36:BD37"/>
    <mergeCell ref="AW8:AZ16"/>
    <mergeCell ref="AW4:AZ4"/>
    <mergeCell ref="AW5:AZ5"/>
    <mergeCell ref="AW6:AZ7"/>
    <mergeCell ref="AW3:BD3"/>
    <mergeCell ref="BA9:BD13"/>
    <mergeCell ref="BA4:BD4"/>
    <mergeCell ref="BA5:BD5"/>
    <mergeCell ref="BA6:BD6"/>
    <mergeCell ref="BA8:BD8"/>
    <mergeCell ref="BA7:BD7"/>
    <mergeCell ref="AL3:AQ3"/>
    <mergeCell ref="AB4:AB5"/>
    <mergeCell ref="AC4:AC5"/>
    <mergeCell ref="Z4:AA5"/>
    <mergeCell ref="Z7:AA7"/>
    <mergeCell ref="Z8:AA8"/>
    <mergeCell ref="Z9:AA9"/>
    <mergeCell ref="Z10:AA10"/>
    <mergeCell ref="Z12:AA12"/>
    <mergeCell ref="AH8:AI8"/>
    <mergeCell ref="AM9:AN9"/>
    <mergeCell ref="V36:V37"/>
    <mergeCell ref="M36:M37"/>
    <mergeCell ref="AV35:AV37"/>
    <mergeCell ref="AM10:AN10"/>
    <mergeCell ref="AM11:AN11"/>
    <mergeCell ref="AP36:AP37"/>
    <mergeCell ref="AE6:AF8"/>
    <mergeCell ref="AE9:AF10"/>
    <mergeCell ref="AE12:AF13"/>
    <mergeCell ref="AE14:AF15"/>
    <mergeCell ref="AE16:AF17"/>
    <mergeCell ref="AE18:AF19"/>
    <mergeCell ref="AG12:AG13"/>
    <mergeCell ref="AG14:AG15"/>
    <mergeCell ref="AG16:AG17"/>
    <mergeCell ref="AM7:AN7"/>
    <mergeCell ref="AU35:AU37"/>
    <mergeCell ref="AL6:AL9"/>
    <mergeCell ref="AL10:AL12"/>
    <mergeCell ref="AQ36:AQ37"/>
    <mergeCell ref="AR36:AR37"/>
    <mergeCell ref="AM8:AN8"/>
    <mergeCell ref="Z18:AA18"/>
    <mergeCell ref="AD16:AD17"/>
    <mergeCell ref="BR34:BR37"/>
    <mergeCell ref="K7:L7"/>
    <mergeCell ref="D30:J30"/>
    <mergeCell ref="N36:N37"/>
    <mergeCell ref="O36:O37"/>
    <mergeCell ref="H17:J17"/>
    <mergeCell ref="D28:J28"/>
    <mergeCell ref="BJ34:BJ37"/>
    <mergeCell ref="BK34:BK37"/>
    <mergeCell ref="BL34:BL37"/>
    <mergeCell ref="BM34:BM37"/>
    <mergeCell ref="BN34:BN37"/>
    <mergeCell ref="BO34:BO37"/>
    <mergeCell ref="BP34:BP37"/>
    <mergeCell ref="BQ34:BQ37"/>
    <mergeCell ref="H15:J15"/>
    <mergeCell ref="H14:J14"/>
    <mergeCell ref="BG36:BG37"/>
    <mergeCell ref="BF36:BF37"/>
    <mergeCell ref="H19:J19"/>
    <mergeCell ref="H20:J20"/>
    <mergeCell ref="X35:X37"/>
    <mergeCell ref="Y36:Y37"/>
    <mergeCell ref="AZ35:AZ37"/>
    <mergeCell ref="B28:B32"/>
    <mergeCell ref="B6:B22"/>
    <mergeCell ref="B23:B27"/>
    <mergeCell ref="F7:G7"/>
    <mergeCell ref="B35:B37"/>
    <mergeCell ref="C36:C37"/>
    <mergeCell ref="E36:E37"/>
    <mergeCell ref="F36:F37"/>
    <mergeCell ref="G36:G37"/>
    <mergeCell ref="E29:J29"/>
    <mergeCell ref="D36:D37"/>
    <mergeCell ref="H31:J31"/>
    <mergeCell ref="K6:L6"/>
    <mergeCell ref="BH34:BH37"/>
    <mergeCell ref="AM14:AN14"/>
    <mergeCell ref="AL13:AL15"/>
    <mergeCell ref="H21:J21"/>
    <mergeCell ref="H32:J32"/>
    <mergeCell ref="W35:W37"/>
    <mergeCell ref="P36:P37"/>
    <mergeCell ref="S36:S37"/>
    <mergeCell ref="T36:T37"/>
    <mergeCell ref="AX36:AX37"/>
    <mergeCell ref="AY36:AY37"/>
    <mergeCell ref="BE36:BE37"/>
    <mergeCell ref="AW36:AW37"/>
    <mergeCell ref="H22:J22"/>
    <mergeCell ref="H23:J23"/>
    <mergeCell ref="H24:J24"/>
    <mergeCell ref="H25:J25"/>
    <mergeCell ref="H26:J26"/>
    <mergeCell ref="H27:J27"/>
    <mergeCell ref="BA36:BA37"/>
    <mergeCell ref="BB36:BB37"/>
    <mergeCell ref="Z17:AA17"/>
    <mergeCell ref="U36:U37"/>
    <mergeCell ref="BI34:BI37"/>
    <mergeCell ref="P3:Q3"/>
    <mergeCell ref="P4:Q4"/>
    <mergeCell ref="E9:J9"/>
    <mergeCell ref="E10:J10"/>
    <mergeCell ref="E11:J11"/>
    <mergeCell ref="C17:G17"/>
    <mergeCell ref="Y12:Y14"/>
    <mergeCell ref="Y15:Y18"/>
    <mergeCell ref="Y9:Y10"/>
    <mergeCell ref="Y6:Y8"/>
    <mergeCell ref="F6:J6"/>
    <mergeCell ref="H7:J7"/>
    <mergeCell ref="F8:J8"/>
    <mergeCell ref="H12:J12"/>
    <mergeCell ref="H13:J13"/>
    <mergeCell ref="H16:J16"/>
    <mergeCell ref="H18:J18"/>
    <mergeCell ref="M9:N9"/>
    <mergeCell ref="M10:N10"/>
    <mergeCell ref="M11:N11"/>
    <mergeCell ref="R4:W16"/>
    <mergeCell ref="R17:W32"/>
    <mergeCell ref="Y19:AA19"/>
  </mergeCells>
  <conditionalFormatting sqref="C27:G27">
    <cfRule type="expression" dxfId="109" priority="149">
      <formula>$C27&lt;&gt;"Valor Total a Pagar del Contrato (SIN IVA)"</formula>
    </cfRule>
  </conditionalFormatting>
  <conditionalFormatting sqref="D28 D30">
    <cfRule type="expression" dxfId="108" priority="87">
      <formula>AND($H$19&gt;0,$H$20&gt;0,$H$21&gt;0,D28=0)</formula>
    </cfRule>
    <cfRule type="expression" dxfId="107" priority="88">
      <formula>AND($H$18&gt;0,$H$19&gt;0,$H$20&gt;0,D28=0)</formula>
    </cfRule>
  </conditionalFormatting>
  <conditionalFormatting sqref="D38:D49">
    <cfRule type="expression" dxfId="106" priority="2">
      <formula>AND(D38=0,$T38&lt;&gt;0)</formula>
    </cfRule>
  </conditionalFormatting>
  <conditionalFormatting sqref="D52">
    <cfRule type="expression" dxfId="105" priority="6">
      <formula>D52="ERROR"</formula>
    </cfRule>
  </conditionalFormatting>
  <conditionalFormatting sqref="E8:E11">
    <cfRule type="expression" dxfId="104" priority="352">
      <formula>AND(E8=0,$F8&lt;&gt;0)</formula>
    </cfRule>
  </conditionalFormatting>
  <conditionalFormatting sqref="E38">
    <cfRule type="expression" dxfId="103" priority="127">
      <formula>AND($T$38&lt;&gt;$E$38,$T$38&gt;0)</formula>
    </cfRule>
  </conditionalFormatting>
  <conditionalFormatting sqref="E39">
    <cfRule type="expression" dxfId="102" priority="117">
      <formula>AND($T$39&gt;0,$E$39&lt;&gt;$T$39)</formula>
    </cfRule>
  </conditionalFormatting>
  <conditionalFormatting sqref="E40:E49">
    <cfRule type="expression" dxfId="101" priority="116">
      <formula>AND($T$40&gt;0,$E$40&lt;&gt;$T$40)</formula>
    </cfRule>
  </conditionalFormatting>
  <conditionalFormatting sqref="E52:E53 S52:W53">
    <cfRule type="expression" dxfId="100" priority="205">
      <formula>E52="ERROR"</formula>
    </cfRule>
  </conditionalFormatting>
  <conditionalFormatting sqref="E54 S54:W54">
    <cfRule type="expression" dxfId="99" priority="458">
      <formula>E54&lt;&gt;""</formula>
    </cfRule>
  </conditionalFormatting>
  <conditionalFormatting sqref="F6 F7:N7 H12">
    <cfRule type="expression" dxfId="98" priority="288">
      <formula>AND($H$18&gt;0,$H$19&gt;0,$H$20&gt;0,F6=0)</formula>
    </cfRule>
  </conditionalFormatting>
  <conditionalFormatting sqref="G16">
    <cfRule type="expression" dxfId="97" priority="372">
      <formula>AND($H$18&gt;0,$H$19&gt;0,$H$20&gt;0,G16=0)</formula>
    </cfRule>
  </conditionalFormatting>
  <conditionalFormatting sqref="G31">
    <cfRule type="expression" dxfId="96" priority="514">
      <formula>OR(AND(G31=0,$H31&gt;=$H$26+IF($H$13="SI",ROUND($H$26*19%,0),0)),AND(G31&lt;&gt;0,$H31&lt;$H$26+IF($H$13="SI",ROUND($H$26*19%,0),0)))</formula>
    </cfRule>
  </conditionalFormatting>
  <conditionalFormatting sqref="H13">
    <cfRule type="expression" dxfId="95" priority="130">
      <formula>AND($H$19&gt;0,$H$20&gt;0,$H$21&gt;0,H13=0)</formula>
    </cfRule>
  </conditionalFormatting>
  <conditionalFormatting sqref="H14:H15">
    <cfRule type="expression" dxfId="94" priority="42">
      <formula>AND($H$18&gt;0,$H$19&gt;0,$H$20&gt;0,H14=0)</formula>
    </cfRule>
  </conditionalFormatting>
  <conditionalFormatting sqref="H16">
    <cfRule type="expression" dxfId="93" priority="41">
      <formula>AND($H$16&gt;0,$H$18&gt;0,$H$19&gt;0,H16=0)</formula>
    </cfRule>
  </conditionalFormatting>
  <conditionalFormatting sqref="H31:H32">
    <cfRule type="cellIs" dxfId="92" priority="153" operator="lessThan">
      <formula>0</formula>
    </cfRule>
  </conditionalFormatting>
  <conditionalFormatting sqref="N38:O49">
    <cfRule type="expression" dxfId="91" priority="4">
      <formula>AND(N38=0,$T38&lt;&gt;0)</formula>
    </cfRule>
  </conditionalFormatting>
  <conditionalFormatting sqref="Q38:S50">
    <cfRule type="expression" dxfId="90" priority="410">
      <formula>AND(Q38=0,$T38&lt;&gt;0)</formula>
    </cfRule>
  </conditionalFormatting>
  <conditionalFormatting sqref="R38:R50">
    <cfRule type="expression" dxfId="89" priority="720">
      <formula>INDEX($AT$5:$AT$7,MATCH(YEAR(R38),$AS$5:$AS$7,0),1)=0</formula>
    </cfRule>
    <cfRule type="expression" dxfId="88" priority="718">
      <formula>AND(R38&gt;0,ISERROR(MATCH(YEAR(R38),$AS$5:$AS$7,0))=TRUE)</formula>
    </cfRule>
  </conditionalFormatting>
  <conditionalFormatting sqref="T38:T49">
    <cfRule type="expression" dxfId="87" priority="31">
      <formula>AND($T38&gt;0,$T38&lt;&gt;$E38)</formula>
    </cfRule>
    <cfRule type="expression" dxfId="86" priority="28">
      <formula>AND(T38=0,$R38&gt;0)</formula>
    </cfRule>
  </conditionalFormatting>
  <conditionalFormatting sqref="T39:T49">
    <cfRule type="expression" dxfId="85" priority="29">
      <formula>AND($T$38&gt;0,$T$38&lt;&gt;$E$38)</formula>
    </cfRule>
  </conditionalFormatting>
  <conditionalFormatting sqref="T40:T49">
    <cfRule type="expression" dxfId="84" priority="32">
      <formula>AND($T$39&gt;0,$T$39&lt;&gt;$E$39)</formula>
    </cfRule>
  </conditionalFormatting>
  <conditionalFormatting sqref="T41:T49">
    <cfRule type="expression" dxfId="83" priority="33">
      <formula>AND($T$40&gt;0,$T$40&lt;&gt;$E$40)</formula>
    </cfRule>
  </conditionalFormatting>
  <conditionalFormatting sqref="T42:T45">
    <cfRule type="expression" dxfId="82" priority="34">
      <formula>AND($T$41&gt;0,$T$41&lt;&gt;$E$41)</formula>
    </cfRule>
  </conditionalFormatting>
  <conditionalFormatting sqref="T43:T45">
    <cfRule type="expression" dxfId="81" priority="35">
      <formula>AND($T$42&gt;0,$T$42&lt;&gt;$E$42)</formula>
    </cfRule>
  </conditionalFormatting>
  <conditionalFormatting sqref="T44:T45">
    <cfRule type="expression" dxfId="80" priority="36">
      <formula>AND($T$43&gt;0,$T$43&lt;&gt;$E$43)</formula>
    </cfRule>
  </conditionalFormatting>
  <conditionalFormatting sqref="T45">
    <cfRule type="expression" dxfId="79" priority="30">
      <formula>AND($T$44&gt;0,$E$44&lt;&gt;$T$44)</formula>
    </cfRule>
  </conditionalFormatting>
  <conditionalFormatting sqref="T46:T49">
    <cfRule type="expression" dxfId="78" priority="37">
      <formula>AND($T$45&gt;0,$T$45&lt;&gt;$E$45)</formula>
    </cfRule>
  </conditionalFormatting>
  <conditionalFormatting sqref="T47:T49">
    <cfRule type="expression" dxfId="77" priority="38">
      <formula>AND($T$46&gt;0,$T$46&lt;&gt;$E$46)</formula>
    </cfRule>
  </conditionalFormatting>
  <conditionalFormatting sqref="T48:T49">
    <cfRule type="expression" dxfId="76" priority="39">
      <formula>AND($T$47&gt;0,$T$47&lt;&gt;$E$47)</formula>
    </cfRule>
  </conditionalFormatting>
  <conditionalFormatting sqref="T49">
    <cfRule type="expression" dxfId="75" priority="40">
      <formula>AND($T$48&gt;0,$T$48&lt;&gt;$E$48)</formula>
    </cfRule>
  </conditionalFormatting>
  <conditionalFormatting sqref="U38:W50">
    <cfRule type="expression" dxfId="74" priority="1388">
      <formula>AND($T38&gt;0,ROUNDUP($T38*40%,0)&gt;IF(MONTH($B38)=1,INDEX($AU$5:$AU$7,MATCH(YEAR($B38)-1,$AS$5:$AS$7,0),1),INDEX($AU$5:$AU$7,MATCH(YEAR($B38),$AS$5:$AS$7,0),1))*25)</formula>
    </cfRule>
    <cfRule type="expression" dxfId="73" priority="1387">
      <formula>AND($T38&gt;0,ROUNDUP($T38*40%,0)&lt;IF(MONTH($B38)=1,INDEX($AU$5:$AU$7,MATCH(YEAR($B38)-1,$AS$5:$AS$7,0),1),INDEX($AU$5:$AU$7,MATCH(YEAR($B38),$AS$5:$AS$7,0),1)))</formula>
    </cfRule>
    <cfRule type="expression" dxfId="72" priority="1386">
      <formula>OR(AND(MONTH($B37)&lt;&gt;12,$F38=0,U38&gt;0),AND(MONTH($B37)=12,MONTH($B38)=12,$F37=0,U38&gt;0))</formula>
    </cfRule>
  </conditionalFormatting>
  <conditionalFormatting sqref="Y3 AX52:AX53">
    <cfRule type="expression" dxfId="71" priority="459">
      <formula>Y3=""</formula>
    </cfRule>
  </conditionalFormatting>
  <conditionalFormatting sqref="AB8">
    <cfRule type="expression" dxfId="70" priority="7">
      <formula>AND(AB6&lt;&gt;0,AB7&lt;&gt;0,AB8=0)</formula>
    </cfRule>
  </conditionalFormatting>
  <conditionalFormatting sqref="AB14:AC14">
    <cfRule type="expression" dxfId="69" priority="9">
      <formula>AND(AB12&lt;&gt;0,AB13&lt;&gt;0,AB14=0)</formula>
    </cfRule>
  </conditionalFormatting>
  <conditionalFormatting sqref="AB15:AC15 I38:I50">
    <cfRule type="cellIs" dxfId="68" priority="456" operator="equal">
      <formula>0</formula>
    </cfRule>
  </conditionalFormatting>
  <conditionalFormatting sqref="AB19:AC19">
    <cfRule type="expression" dxfId="67" priority="143">
      <formula>AB19&lt;&gt;Y$51</formula>
    </cfRule>
  </conditionalFormatting>
  <conditionalFormatting sqref="AB20:AC20">
    <cfRule type="expression" dxfId="66" priority="145">
      <formula>AB20&lt;&gt;""</formula>
    </cfRule>
  </conditionalFormatting>
  <conditionalFormatting sqref="AC6">
    <cfRule type="expression" dxfId="65" priority="26">
      <formula>AND(AC6=0,AC7&lt;&gt;0)</formula>
    </cfRule>
  </conditionalFormatting>
  <conditionalFormatting sqref="AC7">
    <cfRule type="expression" dxfId="64" priority="27">
      <formula>AND(AC7=0,AC6&lt;&gt;0)</formula>
    </cfRule>
  </conditionalFormatting>
  <conditionalFormatting sqref="AC38:AC50 AV38:AV50">
    <cfRule type="expression" dxfId="63" priority="575">
      <formula>OR(AND($T38=0,AC38&gt;0),$AV38&lt;0)</formula>
    </cfRule>
  </conditionalFormatting>
  <conditionalFormatting sqref="AG6:AG8">
    <cfRule type="expression" dxfId="62" priority="799">
      <formula>AND(AG6=0,AG9&gt;0)</formula>
    </cfRule>
  </conditionalFormatting>
  <conditionalFormatting sqref="AG9:AG10">
    <cfRule type="expression" dxfId="61" priority="20">
      <formula>OR(AND(AG9&gt;0,AG9&lt;DATE($Y6,1,1)),AG9&gt;DATE($Y6+1,4,15),AND(AG6&gt;0,AG9&gt;0,AG9&lt;AG6))</formula>
    </cfRule>
    <cfRule type="expression" dxfId="60" priority="22">
      <formula>AND(AG9=0,AG6&gt;0)</formula>
    </cfRule>
  </conditionalFormatting>
  <conditionalFormatting sqref="AG12">
    <cfRule type="expression" dxfId="59" priority="21">
      <formula>AND(AG12=0,AG14&gt;0)</formula>
    </cfRule>
  </conditionalFormatting>
  <conditionalFormatting sqref="AG14">
    <cfRule type="expression" dxfId="58" priority="775">
      <formula>OR(AND(AG14&gt;0,AG14&lt;DATE($Y$12,1,1)),AG14&gt;DATE($Y$12+1,4,15),AND(AG12&gt;0,AG14&gt;0,AG14&lt;AG12))</formula>
    </cfRule>
    <cfRule type="expression" dxfId="57" priority="776">
      <formula>AND(AG14=0,AG12&gt;0)</formula>
    </cfRule>
  </conditionalFormatting>
  <conditionalFormatting sqref="AG16">
    <cfRule type="expression" dxfId="56" priority="359">
      <formula>AND(AG16=0,AG18&gt;0)</formula>
    </cfRule>
  </conditionalFormatting>
  <conditionalFormatting sqref="AG18:AG19">
    <cfRule type="expression" dxfId="55" priority="23">
      <formula>OR(AND(AG18&gt;0,AG18&lt;DATE($Y$12,1,1)),AG18&gt;DATE($Y$12+1,4,15),AND(AG16&gt;0,AG18&gt;0,AG18&lt;AG16))</formula>
    </cfRule>
    <cfRule type="expression" dxfId="54" priority="25">
      <formula>AND(AG18=0,AG16&gt;0)</formula>
    </cfRule>
    <cfRule type="expression" dxfId="53" priority="409">
      <formula>AND(AG18=0,AG16&gt;0)</formula>
    </cfRule>
    <cfRule type="expression" dxfId="52" priority="142">
      <formula>OR(AND(AG18&gt;0,AG18&lt;DATE($Y$12,1,1)),AG18&gt;DATE($Y$12+1,4,15),AND(AG16&gt;0,AG18&gt;0,AG18&lt;AG16))</formula>
    </cfRule>
  </conditionalFormatting>
  <conditionalFormatting sqref="AH10">
    <cfRule type="expression" dxfId="51" priority="1002">
      <formula>AND($AG$12&gt;0,$AG$14,AH10=0)</formula>
    </cfRule>
    <cfRule type="expression" dxfId="50" priority="1001">
      <formula>AND($AG$6&gt;0,$AG$9,AH10=0)</formula>
    </cfRule>
  </conditionalFormatting>
  <conditionalFormatting sqref="AH52:AK54">
    <cfRule type="expression" dxfId="49" priority="460">
      <formula>AH52=""</formula>
    </cfRule>
  </conditionalFormatting>
  <conditionalFormatting sqref="AI10:AI11">
    <cfRule type="expression" dxfId="48" priority="11">
      <formula>AND($AH$10&gt;0,AI10=0)</formula>
    </cfRule>
  </conditionalFormatting>
  <conditionalFormatting sqref="AI12">
    <cfRule type="expression" dxfId="47" priority="10">
      <formula>AND($AH$10&gt;0,$AI$12=0)</formula>
    </cfRule>
  </conditionalFormatting>
  <conditionalFormatting sqref="AN52:AX53">
    <cfRule type="expression" dxfId="46" priority="1333">
      <formula>$AX$52="Recuerde Notificar la Variación de la Rf Contingente de la 2a. Quincena de Diciembre"</formula>
    </cfRule>
  </conditionalFormatting>
  <conditionalFormatting sqref="AO6:AO7 AQ6:AQ7 AQ10">
    <cfRule type="expression" dxfId="45" priority="125">
      <formula>AND(AO6=0,AO8&lt;&gt;0)</formula>
    </cfRule>
  </conditionalFormatting>
  <conditionalFormatting sqref="AO10">
    <cfRule type="expression" dxfId="44" priority="761">
      <formula>AND(AO10=0,AO12&lt;&gt;0)</formula>
    </cfRule>
  </conditionalFormatting>
  <conditionalFormatting sqref="AO13:AO14">
    <cfRule type="expression" dxfId="43" priority="124">
      <formula>AND(AO13=0,AO15&lt;&gt;0)</formula>
    </cfRule>
  </conditionalFormatting>
  <conditionalFormatting sqref="AQ13:AQ14">
    <cfRule type="expression" dxfId="42" priority="119">
      <formula>AND($AQ$6&lt;&gt;0,$AQ$13&lt;&gt;0)</formula>
    </cfRule>
  </conditionalFormatting>
  <conditionalFormatting sqref="AT5:AT6">
    <cfRule type="expression" dxfId="41" priority="1">
      <formula>AND(COUNTIF($Q$41:$Q$55,"&gt;="&amp;DATE($AH5,1,1))-COUNTIF($Q$41:$Q$55,"&gt;"&amp;DATE($AH5,12,31)),AT5=0)</formula>
    </cfRule>
  </conditionalFormatting>
  <conditionalFormatting sqref="AT7">
    <cfRule type="expression" dxfId="40" priority="721">
      <formula>AND(COUNTIF($Q$38:$Q$51,"&gt;="&amp;DATE($AS7,1,1))-COUNTIF($Q$38:$Q$51,"&gt;"&amp;DATE($AS7,12,31)),AT7=0)</formula>
    </cfRule>
  </conditionalFormatting>
  <conditionalFormatting sqref="AU5:AU6">
    <cfRule type="expression" dxfId="39" priority="67">
      <formula>AND(COUNTIF($B$41:$B$55,"&gt;="&amp;DATE($AH5,1,1))-COUNTIF($B$41:$B$55,"&gt;"&amp;DATE($AH5,12,31)),AU5=0)</formula>
    </cfRule>
  </conditionalFormatting>
  <conditionalFormatting sqref="AU7">
    <cfRule type="expression" dxfId="38" priority="723">
      <formula>AND(COUNTIF($B$38:$B$51,"&gt;="&amp;DATE($AS7,1,1))-COUNTIF($B$38:$B$51,"&gt;"&amp;DATE($AS7,12,31)),AU7=0)</formula>
    </cfRule>
  </conditionalFormatting>
  <conditionalFormatting sqref="AY50">
    <cfRule type="expression" dxfId="37" priority="454">
      <formula>AND(AY50&lt;&gt;0,$AC50=0)</formula>
    </cfRule>
  </conditionalFormatting>
  <conditionalFormatting sqref="AZ38:AZ49 F38:F50">
    <cfRule type="expression" dxfId="36" priority="1365">
      <formula>AND($AZ38&gt;0,$AZ38&lt;$F38)</formula>
    </cfRule>
  </conditionalFormatting>
  <conditionalFormatting sqref="AZ38:AZ49">
    <cfRule type="expression" dxfId="35" priority="688" stopIfTrue="1">
      <formula>AND($T38&gt;0,$F38&gt;0,AZ38=0)</formula>
    </cfRule>
  </conditionalFormatting>
  <conditionalFormatting sqref="BA38:BA49 H38:H49">
    <cfRule type="expression" dxfId="34" priority="1367">
      <formula>OR(AND($BA38&gt;0,$BA38&lt;$H38),AND($F38=$AZ38,$BA38&gt;0,$BA38&lt;&gt;$H38))</formula>
    </cfRule>
  </conditionalFormatting>
  <conditionalFormatting sqref="BA38:BA49">
    <cfRule type="expression" dxfId="33" priority="690" stopIfTrue="1">
      <formula>AND($T38&gt;0,$H38&gt;0,BA38=0)</formula>
    </cfRule>
  </conditionalFormatting>
  <conditionalFormatting sqref="BB38:BB49 J38:J49">
    <cfRule type="expression" dxfId="32" priority="1382">
      <formula>OR(AND($BB38&gt;0,$BB38&lt;$J38),AND($F38=$AZ38,$BB38&gt;0,$BB38&lt;&gt;$J38))</formula>
    </cfRule>
  </conditionalFormatting>
  <conditionalFormatting sqref="BB38:BB49">
    <cfRule type="expression" dxfId="31" priority="689">
      <formula>AND($T38&gt;0,$J38&gt;0,BB38=0)</formula>
    </cfRule>
  </conditionalFormatting>
  <conditionalFormatting sqref="BC38:BC49 L38:L49">
    <cfRule type="expression" dxfId="30" priority="1384">
      <formula>OR(AND($BC38&gt;0,$BC38&lt;$L38),AND($F38=$AZ38,$BC38&gt;0,$BC38&lt;&gt;$L38))</formula>
    </cfRule>
  </conditionalFormatting>
  <conditionalFormatting sqref="BC38:BC49">
    <cfRule type="expression" dxfId="29" priority="437">
      <formula>AND($T38&gt;0,$L38&gt;0,BC38=0)</formula>
    </cfRule>
  </conditionalFormatting>
  <conditionalFormatting sqref="BE38:BE49">
    <cfRule type="expression" dxfId="28" priority="182">
      <formula>OR(AND(AZ38&gt;0,BE38&gt;$H$37+0.02%),AND(AZ38&gt;0,BE38&gt;0,BE38&lt;$H$37-0.02%))</formula>
    </cfRule>
  </conditionalFormatting>
  <conditionalFormatting sqref="BF38:BF49">
    <cfRule type="expression" dxfId="27" priority="186">
      <formula>OR(AND(AZ38&gt;0,BF38&gt;0,BF38&lt;16%-0.02%),AND(AZ38&gt;0,BF38&gt;16%+0.02%,BF38&lt;17%-0.02%),AND(AZ38&gt;0,BF38&gt;17%+0.02%,BF38&lt;17.2%-0.02%),AND(AZ38&gt;0,BF38&gt;17.2%+0.02%,BF38&lt;17.4%-0.02%),AND(AZ38&gt;0,BF38&gt;17.4%+0.02%,BF38&lt;17.6%-0.02%),AND(AZ38&gt;0,BF38&gt;17.6%+0.02%,BF38&lt;17.8%-0.02%),AND(AZ38&gt;0,BF38&gt;17.8%+0.02%,BF38&lt;18%-0.02%),AND(AZ38&gt;0,BF38&gt;18%+0.02%))</formula>
    </cfRule>
  </conditionalFormatting>
  <conditionalFormatting sqref="BG38:BG49">
    <cfRule type="expression" dxfId="26" priority="1373">
      <formula>OR(AND(AZ38&gt;0,BG38&gt;$K38+0.02%),AND(AZ38&gt;0,BG38&gt;0,BG38&lt;$K38-0.02%))</formula>
    </cfRule>
  </conditionalFormatting>
  <conditionalFormatting sqref="BU5:BU6 BU15:BU22">
    <cfRule type="expression" dxfId="25" priority="50">
      <formula>AND(COUNTIF($Q$41:$Q$54,"&gt;="&amp;DATE($AH5,1,1))-COUNTIF($Q$41:$Q$54,"&gt;"&amp;DATE($AH5,12,31)),BU5=0)</formula>
    </cfRule>
  </conditionalFormatting>
  <conditionalFormatting sqref="BU7:BU14">
    <cfRule type="expression" dxfId="24" priority="1426">
      <formula>AND(COUNTIF($Q$41:$Q$54,"&gt;="&amp;DATE($AH6,1,1))-COUNTIF($Q$41:$Q$54,"&gt;"&amp;DATE($AH6,12,31)),BU7=0)</formula>
    </cfRule>
  </conditionalFormatting>
  <conditionalFormatting sqref="BU23">
    <cfRule type="expression" dxfId="23" priority="1229">
      <formula>AND(COUNTIF($Q$41:$Q$54,"&gt;="&amp;DATE($Y24,1,1))-COUNTIF($Q$41:$Q$54,"&gt;"&amp;DATE($Y24,12,31)),BU23=0)</formula>
    </cfRule>
  </conditionalFormatting>
  <conditionalFormatting sqref="BU24">
    <cfRule type="expression" dxfId="22" priority="1244">
      <formula>AND(COUNTIF($Q$41:$Q$54,"&gt;="&amp;DATE($Y30,1,1))-COUNTIF($Q$41:$Q$54,"&gt;"&amp;DATE($Y30,12,31)),BU24=0)</formula>
    </cfRule>
  </conditionalFormatting>
  <conditionalFormatting sqref="BU25 BU46:BU47">
    <cfRule type="expression" dxfId="21" priority="1385">
      <formula>AND(COUNTIF($Q$41:$Q$54,"&gt;="&amp;DATE($AH31,1,1))-COUNTIF($Q$41:$Q$54,"&gt;"&amp;DATE($AH31,12,31)),BU25=0)</formula>
    </cfRule>
  </conditionalFormatting>
  <conditionalFormatting sqref="BU26">
    <cfRule type="expression" dxfId="20" priority="1069">
      <formula>AND(COUNTIF($Q$41:$Q$54,"&gt;="&amp;DATE($AH33,1,1))-COUNTIF($Q$41:$Q$54,"&gt;"&amp;DATE($AH33,12,31)),BU26=0)</formula>
    </cfRule>
  </conditionalFormatting>
  <conditionalFormatting sqref="BU27:BU29">
    <cfRule type="expression" dxfId="19" priority="1428">
      <formula>AND(COUNTIF($Q$41:$Q$54,"&gt;="&amp;DATE($AI34,1,1))-COUNTIF($Q$41:$Q$54,"&gt;"&amp;DATE($AI34,12,31)),BU27=0)</formula>
    </cfRule>
  </conditionalFormatting>
  <conditionalFormatting sqref="BU30:BU45">
    <cfRule type="expression" dxfId="18" priority="1429">
      <formula>AND(COUNTIF($Q$41:$Q$54,"&gt;="&amp;DATE($AI36,1,1))-COUNTIF($Q$41:$Q$54,"&gt;"&amp;DATE($AI36,12,31)),BU30=0)</formula>
    </cfRule>
  </conditionalFormatting>
  <conditionalFormatting sqref="BU46:BU47">
    <cfRule type="expression" dxfId="17" priority="1141">
      <formula>AND(COUNTIF($Q$41:$Q$54,"&gt;="&amp;DATE($AH64,1,1))-COUNTIF($Q$41:$Q$54,"&gt;"&amp;DATE($AH64,12,31)),BU46=0)</formula>
    </cfRule>
  </conditionalFormatting>
  <conditionalFormatting sqref="BU48">
    <cfRule type="expression" dxfId="16" priority="1138">
      <formula>AND(COUNTIF($Q$41:$Q$54,"&gt;="&amp;DATE($AH55,1,1))-COUNTIF($Q$41:$Q$54,"&gt;"&amp;DATE($AH55,12,31)),BU48=0)</formula>
    </cfRule>
  </conditionalFormatting>
  <conditionalFormatting sqref="BU48:BU50">
    <cfRule type="expression" dxfId="15" priority="1322">
      <formula>AND(COUNTIF($Q$41:$Q$54,"&gt;="&amp;DATE($AH67,1,1))-COUNTIF($Q$41:$Q$54,"&gt;"&amp;DATE($AH67,12,31)),BU48=0)</formula>
    </cfRule>
  </conditionalFormatting>
  <conditionalFormatting sqref="BU49:BU50">
    <cfRule type="expression" dxfId="14" priority="1319">
      <formula>AND(COUNTIF($Q$41:$Q$54,"&gt;="&amp;DATE($AH57,1,1))-COUNTIF($Q$41:$Q$54,"&gt;"&amp;DATE($AH57,12,31)),BU49=0)</formula>
    </cfRule>
  </conditionalFormatting>
  <conditionalFormatting sqref="BU51">
    <cfRule type="expression" dxfId="13" priority="1328">
      <formula>AND(COUNTIF($Q$41:$Q$55,"&gt;="&amp;DATE($AH52,1,1))-COUNTIF($Q$41:$Q$55,"&gt;"&amp;DATE($AH52,12,31)),BU51=0)</formula>
    </cfRule>
  </conditionalFormatting>
  <conditionalFormatting sqref="BU52">
    <cfRule type="expression" dxfId="12" priority="1330">
      <formula>AND(COUNTIF($Q$41:$Q$54,"&gt;="&amp;DATE($AH53,1,1))-COUNTIF($Q$41:$Q$54,"&gt;"&amp;DATE($AH53,12,31)),BU52=0)</formula>
    </cfRule>
    <cfRule type="expression" dxfId="11" priority="1329">
      <formula>AND(COUNTIF($Q$41:$Q$54,"&gt;="&amp;DATE($AH71,1,1))-COUNTIF($Q$41:$Q$54,"&gt;"&amp;DATE($AH71,12,31)),BU52=0)</formula>
    </cfRule>
  </conditionalFormatting>
  <conditionalFormatting sqref="BU53">
    <cfRule type="expression" dxfId="10" priority="1331">
      <formula>AND(COUNTIF($Q$41:$Q$54,"&gt;="&amp;DATE($AH70,1,1))-COUNTIF($Q$41:$Q$54,"&gt;"&amp;DATE($AH70,12,31)),BU53=0)</formula>
    </cfRule>
    <cfRule type="expression" dxfId="9" priority="1332">
      <formula>AND(COUNTIF($Q$41:$Q$54,"&gt;="&amp;DATE($AH52,1,1))-COUNTIF($Q$41:$Q$54,"&gt;"&amp;DATE($AH52,12,31)),BU53=0)</formula>
    </cfRule>
  </conditionalFormatting>
  <conditionalFormatting sqref="BU54">
    <cfRule type="expression" dxfId="8" priority="1421">
      <formula>AND(COUNTIF($Q$41:$Q$54,"&gt;="&amp;DATE($AI51,1,1))-COUNTIF($Q$41:$Q$54,"&gt;"&amp;DATE($AI51,12,31)),BU54=0)</formula>
    </cfRule>
  </conditionalFormatting>
  <conditionalFormatting sqref="BU55:BU58">
    <cfRule type="expression" dxfId="7" priority="1142">
      <formula>AND(COUNTIF($Q$41:$Q$54,"&gt;="&amp;DATE($AH52,1,1))-COUNTIF($Q$41:$Q$54,"&gt;"&amp;DATE($AH52,12,31)),BU55=0)</formula>
    </cfRule>
  </conditionalFormatting>
  <conditionalFormatting sqref="BU59:BU65">
    <cfRule type="expression" dxfId="6" priority="1323">
      <formula>AND(COUNTIF($Q$41:$Q$54,"&gt;="&amp;DATE($AH57,1,1))-COUNTIF($Q$41:$Q$54,"&gt;"&amp;DATE($AH57,12,31)),BU59=0)</formula>
    </cfRule>
  </conditionalFormatting>
  <conditionalFormatting sqref="BU66">
    <cfRule type="expression" dxfId="5" priority="751">
      <formula>AND(COUNTIF($Q$41:$Q$54,"&gt;="&amp;DATE(#REF!,1,1))-COUNTIF($Q$41:$Q$54,"&gt;"&amp;DATE(#REF!,12,31)),BU66=0)</formula>
    </cfRule>
  </conditionalFormatting>
  <conditionalFormatting sqref="BV5">
    <cfRule type="expression" dxfId="4" priority="1089">
      <formula>AND(COUNTIF($Q$41:$Q$54,"&gt;="&amp;DATE($AG1048564,1,1))-COUNTIF($Q$41:$Q$54,"&gt;"&amp;DATE($AG1048564,12,31)),BV5=0)</formula>
    </cfRule>
  </conditionalFormatting>
  <conditionalFormatting sqref="BV6:BV10">
    <cfRule type="expression" dxfId="3" priority="1324">
      <formula>AND(COUNTIF($Q$41:$Q$54,"&gt;="&amp;DATE($AG1048568,1,1))-COUNTIF($Q$41:$Q$54,"&gt;"&amp;DATE($AG1048568,12,31)),BV6=0)</formula>
    </cfRule>
  </conditionalFormatting>
  <conditionalFormatting sqref="BV11:BV12">
    <cfRule type="expression" dxfId="2" priority="1325">
      <formula>AND(COUNTIF($Q$41:$Q$54,"&gt;="&amp;DATE($AG1048572,1,1))-COUNTIF($Q$41:$Q$54,"&gt;"&amp;DATE($AG1048572,12,31)),BV11=0)</formula>
    </cfRule>
  </conditionalFormatting>
  <conditionalFormatting sqref="BV13:BV27">
    <cfRule type="expression" dxfId="1" priority="1190">
      <formula>AND(COUNTIF($Q$41:$Q$54,"&gt;="&amp;DATE($AG1048569,1,1))-COUNTIF($Q$41:$Q$54,"&gt;"&amp;DATE($AG1048569,12,31)),BV13=0)</formula>
    </cfRule>
  </conditionalFormatting>
  <conditionalFormatting sqref="BV28:BV29">
    <cfRule type="expression" dxfId="0" priority="48">
      <formula>AND(COUNTIF($Q$41:$Q$54,"&gt;="&amp;DATE($AG4,1,1))-COUNTIF($Q$41:$Q$54,"&gt;"&amp;DATE($AG4,12,31)),BV28=0)</formula>
    </cfRule>
  </conditionalFormatting>
  <dataValidations xWindow="50" yWindow="647" count="93">
    <dataValidation type="list" allowBlank="1" showInputMessage="1" showErrorMessage="1" errorTitle="ERROR" error="Solo se permiten ingresar determinados valores. Favor seleccione su tarifa de riesgo." promptTitle="SELECCIONE TARIFA" prompt="Seleccione la tarifa de la lista desplegable de acuerdo con la cotización que realiza el contratista en su planilla de seguridad social." sqref="K38:K49" xr:uid="{5E80A9A3-D0B6-473F-B637-C0DFBDAB83A8}">
      <mc:AlternateContent xmlns:x12ac="http://schemas.microsoft.com/office/spreadsheetml/2011/1/ac" xmlns:mc="http://schemas.openxmlformats.org/markup-compatibility/2006">
        <mc:Choice Requires="x12ac">
          <x12ac:list>"0,522%","1,044%","2,436%"</x12ac:list>
        </mc:Choice>
        <mc:Fallback>
          <formula1>"0,522%,1,044%,2,436%"</formula1>
        </mc:Fallback>
      </mc:AlternateContent>
    </dataValidation>
    <dataValidation allowBlank="1" showInputMessage="1" showErrorMessage="1" promptTitle="Art. 387 y 388 ET Numeral 2" prompt="El valor mensual máximo a deducir es de 100 UVT (DR 4713/05). Cuando el valor del pago corresponde a un periodo inferior o superior a 30 días, el valor a deducir es proporcional al # de días objeto del pago (DR 3750/86)" sqref="Y36:Y37" xr:uid="{996E4472-6B00-40F6-9A44-63BBEA3592AC}"/>
    <dataValidation allowBlank="1" showInputMessage="1" showErrorMessage="1" promptTitle="Art. 387 y 388 ET Numeral 2" prompt="El valor a disminuir mensualmente no debe superar las 16 UVT mensuales. Cuando el valor del pago corresponde a un periodo inferior o superior a 30 días, el valor a deducir es proporcional al # de días objeto del pago (DR 3750/86)" sqref="Z36:Z37" xr:uid="{55FFE2DE-C559-48FC-A7E4-BF9A801C20D3}"/>
    <dataValidation allowBlank="1" showInputMessage="1" showErrorMessage="1" promptTitle="ALERTA" prompt="El relleno color AMARILLO alerta cuando el IBC OBLIGATORIO es inferior al anotado en la Seguridad Social Presentada por el Contratista. Recuerde que este debe ser el IBC mínimo, por lo que no se pueden aceptar pagos con IBC inferiores._x000a_" sqref="F36:F37" xr:uid="{E60A2876-8310-4150-8FF0-33D91C94E634}"/>
    <dataValidation type="list" allowBlank="1" showInputMessage="1" showErrorMessage="1" errorTitle="ERROR" error="No digite, solo seleccione una de las 2 opciones que se presentan en la lista desplegable." promptTitle="SELECCIONE SI O NO" prompt="Seleccione SI si el contratista es pensionado o NO está obligado a cotizar pensión, de lo contrario seleccione NO." sqref="H12" xr:uid="{88859F2A-4FC6-423A-A24E-F5573B512A6F}">
      <formula1>"Si,No"</formula1>
    </dataValidation>
    <dataValidation type="list" allowBlank="1" showInputMessage="1" showErrorMessage="1" errorTitle="ERROR" error="No digite, solo seleccione una de las 2 opciones que se presentan en la lista desplegable." sqref="AA38:AA50" xr:uid="{C4C2469C-FF15-4EC5-B30D-550AD63CC2E5}">
      <formula1>"Si,No"</formula1>
    </dataValidation>
    <dataValidation type="custom" allowBlank="1" showInputMessage="1" showErrorMessage="1" errorTitle="ERROR" error="Celda validada. Solo se permite el ingreso de una fecha posterior a la fecha inicial de ejecución y anterior a la fecha final del contrato." promptTitle="FECHA INICIAL DD-MMM-AA" prompt="Digite la fecha a partir de la cual se suspendió el contrato." sqref="H21" xr:uid="{975E7C3A-510D-4B16-931C-3E5B1AFA3E2B}">
      <formula1>AND(H21&gt;H19,H21&lt;H20)</formula1>
    </dataValidation>
    <dataValidation type="custom" operator="greaterThanOrEqual" allowBlank="1" showInputMessage="1" showErrorMessage="1" errorTitle="ERROR" error="Celda validada. Solo se permite el ingreso de una fecha igual o posterior a la fecha inicial de suspensión y anterior a la fecha final de ejecución." promptTitle="FECHA FINAL DD-MM-AA" prompt="Digite la fecha hasta la cual se suspendió el contrato." sqref="H22" xr:uid="{8C6A9629-BA91-4E82-A6FD-285CAE056414}">
      <formula1>AND(H22&gt;=H21,H22&lt;H20)</formula1>
    </dataValidation>
    <dataValidation type="custom" allowBlank="1" showInputMessage="1" showErrorMessage="1" errorTitle="ERROR" promptTitle="AÑO ACTUAL" prompt="Año en el que se suscribió el contrato" sqref="AS6" xr:uid="{7A462819-8AA0-432F-8662-60A30C267B44}">
      <formula1>AS5+1</formula1>
    </dataValidation>
    <dataValidation type="custom" allowBlank="1" showInputMessage="1" showErrorMessage="1" promptTitle="AÑO POSTERIOR" prompt="Digite el año posterior en el que se suscribió el contrato." sqref="AS7" xr:uid="{5E70B8A0-0E11-45F6-81A5-0C1F6276C1E5}">
      <formula1>AS6+1</formula1>
    </dataValidation>
    <dataValidation allowBlank="1" showInputMessage="1" showErrorMessage="1" promptTitle="ALERTA" prompt="El relleno color FUCSIA alerta cuando el registro contable corresponde a un año al que no se le ha ingresado el valor de la UVT en la &quot;Información Utilizada para la Liquidación&quot; o cuando NO se ha ingresado la fecha del registro contable." sqref="R37" xr:uid="{7D933C30-6D4A-45F1-8A68-292C7EF3EA61}"/>
    <dataValidation allowBlank="1" showInputMessage="1" showErrorMessage="1" promptTitle="PAGO GRAVABLE MENSUALIZADO" prompt="# Días = Valor Pago Sin IVA / Valor Diario._x000a_Pago Gravable Mensualizado = Pago Gravable / # Días * 30. _x000a_El resultado se lleva a la Tabla del Art. 383 ET. _x000a_La mensualización se aplica por los principios de justicia y progresividad (Art. 683 ET)." sqref="AJ37" xr:uid="{D351DB55-9622-4D74-93E0-74FA95115690}"/>
    <dataValidation allowBlank="1" showInputMessage="1" showErrorMessage="1" promptTitle="ALERTA" prompt="El relleno color AMARILLO alerta cuando NO coincide el % calculado (Aporte / IBC) con el 12,5%." sqref="BE36:BE37" xr:uid="{2D0931F1-7692-4793-87F8-B5C076F7ADE5}"/>
    <dataValidation allowBlank="1" showInputMessage="1" showErrorMessage="1" promptTitle="ALERTA" prompt="El relleno color AMARILLO alerta cuando NO coincide el % calculado (Aporte / IBC) con el % de pensión." sqref="BF36:BF37" xr:uid="{3B0A1B79-D368-43ED-A52B-810D5AEBEBEC}"/>
    <dataValidation allowBlank="1" showInputMessage="1" showErrorMessage="1" promptTitle="ALERTA" prompt="El relleno color AMARILLO alerta cuando NO coincide el % calculado (Aporte / IBC) con el % de ARL." sqref="BG36:BG37" xr:uid="{313991D6-55C3-437A-8C41-3E2361E1F2C4}"/>
    <dataValidation allowBlank="1" showInputMessage="1" showErrorMessage="1" promptTitle="Art. 387 y 388 ET Numeral 2" prompt="Una deducción mensual de hasta el 10% del total de los ingresos brutos provenientes de la relación laboral o legal y reglamentaria del respectivo mes por concepto de dependientes, hasta un máximo de 32 UVT mensuales." sqref="AA36:AB37" xr:uid="{352DC8AA-25E7-4EE7-A708-A3F3CB40B88B}"/>
    <dataValidation type="date" operator="greaterThanOrEqual" allowBlank="1" showInputMessage="1" showErrorMessage="1" errorTitle="ERROR" error="Celda validada: Solo se permite el ingreso de una fecha igual o mayor a la fecha inicial." promptTitle="FECHA FINAL DD-MM-AA" prompt="Digite la fecha final de ejecución que figura en el contrato. Esta fecha deberá ajustarse cuando ocurran los siguientes eventos:_x000a_1. Cesión, _x000a_2. Terminación Anticipada,_x000a_3. Variación del Honorario Mensual (Incremento)" sqref="H20:J20" xr:uid="{26E9E060-D7A3-449D-AC5F-2F9909955223}">
      <formula1>H$19</formula1>
    </dataValidation>
    <dataValidation type="whole" operator="greaterThan" allowBlank="1" showInputMessage="1" showErrorMessage="1" errorTitle="ERROR" error="Celda validada. Solo se permite el ingreso de números enteros mayores a cero (0)." promptTitle="VALOR TOTAL DEL CONTRATO" prompt="Digite el TOTAL INCLUIDO IVA. En caso de Cesión y el liquidador corresponde a un CEDENTE digite el valor ejecutado y si es un CESIONARIO digite el saldo cedido en el Otro Sí. En caso de Terminación Anticipada deje el mismo valor total del contrato." sqref="H16" xr:uid="{5B66CA31-BEAF-44CC-8D32-2ADD20D7212E}">
      <formula1>0</formula1>
    </dataValidation>
    <dataValidation type="whole" operator="greaterThanOrEqual" allowBlank="1" showInputMessage="1" showErrorMessage="1" promptTitle="CANTIDAD DE PAGOS" prompt="Digite la cantidad de pagos programados en el contrato. En caso de Cesión o Terminación Anticipada, debe ajustarse al número de pagos a realizar." sqref="G16" xr:uid="{A8E24E8F-4E36-4495-9B8F-91E5A1620188}">
      <formula1>1</formula1>
    </dataValidation>
    <dataValidation allowBlank="1" showInputMessage="1" showErrorMessage="1" promptTitle="ALERTA" prompt="El relleno color AMARILLO alerta cuando el aporte OBLIGATORIO es inferior al anotado en la Seguridad Social Presentada por el Contratista. Recuerde que este debe ser el aporte mínimo, por lo que no se pueden aceptar pagos por valores inferiores." sqref="H37 J37 L37" xr:uid="{E8E773AE-3645-4583-8797-72FB8678D852}"/>
    <dataValidation allowBlank="1" showInputMessage="1" showErrorMessage="1" promptTitle="APROXIMACIÓN DEL IBC" prompt="Hasta Feb/16: El monto del IBC deberá aproximarse al múltiplo de mil más cercano. La fracción &lt;= a 500 se deducirá (Art 10 Decreto 1406/99). Desde Mzo/16: El monto del IBC deberá aproximarse al peso superior más cercano (Art. 1 Decreto 1990/16)." sqref="F35:G35" xr:uid="{36FD1393-651F-41D0-9396-82F664E0CBD2}"/>
    <dataValidation type="list" allowBlank="1" showInputMessage="1" showErrorMessage="1" errorTitle="ERROR" error="No digite, solo seleccione una de las 2 opciones que se presentan en la lista desplegable." promptTitle="SELECCIONE" prompt="Seleccione la opción correspondiente:_x000a_A: Si el liquidador es del contratista CEDENTE_x000a_De: Si el liquidador es del contratista CESIONARIO_x000a_" sqref="E8" xr:uid="{DDD09C99-BA86-4439-A138-DE59B69FAC94}">
      <formula1>"A,De"</formula1>
    </dataValidation>
    <dataValidation type="list" allowBlank="1" showInputMessage="1" showErrorMessage="1" errorTitle="ERROR" error="No digite, solo seleccione una de las opciones que se presentan en la lista desplegable." promptTitle="TERMINACIÓN ANTICIPADA" prompt="Seleccione SI únicamente cuando se haya suscrito un Acta de Terminación Anticipada." sqref="G20" xr:uid="{46C0FA37-B31F-4AA2-AAAC-5F914DB27B41}">
      <formula1>"Si"</formula1>
    </dataValidation>
    <dataValidation allowBlank="1" showInputMessage="1" showErrorMessage="1" promptTitle="NUMERO DEL PAGO" prompt="Aparece automáticamente cuando se digita la Fecha o el Valor del Pago SIN IVA. En caso de que no se procese ningún pago favor no digitar ningún dato en dichas celdas. En caso de que se procese más de un pago en una celda favor ajustar los números de pago." sqref="S36:S37" xr:uid="{65391F70-58C7-49B9-975C-7CED995EB279}"/>
    <dataValidation allowBlank="1" showInputMessage="1" showErrorMessage="1" promptTitle="ALERTA" prompt="El relleno color FUCSIA alerta cuando se ha ingresado la fecha del registro contable y NO el valor del pago. En caso de que no se vaya a ingresar ningún pago, favor borrar la fecha." sqref="T36:T37" xr:uid="{49AD4EFA-37EA-4D76-8971-9CE527AEA0A3}"/>
    <dataValidation allowBlank="1" showInputMessage="1" showErrorMessage="1" promptTitle="ALERTA" prompt="El relleno color FUCSIA alerta cuando se ha ingresado el Valor del Pago y NO se ha registrado el IBC correspondiente." sqref="AZ35:AZ37" xr:uid="{3DF63917-606A-429B-BF54-94A3AE49BEE2}"/>
    <dataValidation allowBlank="1" showInputMessage="1" showErrorMessage="1" promptTitle="CANTIDAD DE DÍAS" prompt="En el 1r mes de ejecución, la fórmula calcula los días desde la fecha de inicio hasta el último día del mes, si este es de 31 días, contará hasta el 31. Si este es de 28 días, como Feb, contará hasta el 28. Ajuste sumando o restando 1 ó 2 días, si aplica" sqref="H23" xr:uid="{4ECF9E3F-7678-4E11-A2F0-64F9919C53AA}"/>
    <dataValidation allowBlank="1" showInputMessage="1" showErrorMessage="1" promptTitle="VERIFIQUE EL VALOR" prompt="Solo si su contrato no tiene IVA, verifique que el valor de la prorrata señalado en el contrato sea igual al valor calculado por el Liquidador. Ajuste sumando o restando $1 ó $2, si aplica." sqref="H26" xr:uid="{85CDDA43-705B-484B-9440-8C88823D75CD}"/>
    <dataValidation allowBlank="1" showInputMessage="1" showErrorMessage="1" promptTitle="TABLERO DE NOTAS" prompt="Enumere la nota, indique el nombre de quien la escribe y la fecha de la misma. En caso de ser una nota transitoria, favor bórrela cuando ya no sea necesaria._x000a_Para ingresar otra nota adicional, teclee F2 y luego presione la tecla Alt y la tecla Enter." sqref="R4" xr:uid="{2E2AA93D-802B-4A4F-B8F1-7F111303F95C}"/>
    <dataValidation allowBlank="1" showInputMessage="1" showErrorMessage="1" promptTitle="CANTIDAD DE DÍAS" prompt="En el 1r mes de ejecución, la fórmula calcula los días desde la fecha de inicio hasta el último día del mes, si este es de 31 días, contará hasta el 31. Si este es de 28 días, como Feb, contará hasta el 28._x000a_Ajuste sumando o restando 1 ó 2 días, si aplica." sqref="C38:D49" xr:uid="{E469C622-CADE-44A9-B0A6-9BBDF3965EB4}"/>
    <dataValidation allowBlank="1" showInputMessage="1" showErrorMessage="1" promptTitle="VERIFIQUE EL INGRESO" prompt="Verifique que el valor corresponda al informado en el Recibo a Satisfacción y/o viceversa. _x000a_En los ctos con IVA y en algunos ctos cedidos habrá que ajustar el valor del liquidador, sumando o restando cierta cantidad, la cual no será mayor a $100." sqref="E38:E49" xr:uid="{4D91DD47-AB5A-48BD-9F3E-0EC4D2E44F08}"/>
    <dataValidation allowBlank="1" showInputMessage="1" showErrorMessage="1" promptTitle="AJUSTE EL IBC SI APLICA" prompt="El liquidador trae un IBC de 1 SMLMV cuando el 40% del ingreso es &lt; a 1 SMLMV. No obstante, cuando el contratista devengue otros ingresos ajuste el IBC al 40% aunque este sea &lt; a 1 SMLMV, o anote $0 cuando ya cotice un IBC de 25 SMLMV por otros ingresos." sqref="F38:F50" xr:uid="{95E0088F-DD97-4CDB-8AE8-554A08CFAAA7}"/>
    <dataValidation allowBlank="1" showInputMessage="1" showErrorMessage="1" promptTitle="VERIFIQUE EL APORTE" prompt="Si el IBC declarado por el contratista es igual al que aquí se establece, ajuste el aporte a como está en la planilla, ajuste que no será mayor a $100._x000a_Por regla general, el IBC declarado por el contratista no puede ser inferior al aquí calculado." sqref="J38:J49 H38:H49 L38:L49" xr:uid="{549722D0-48B0-4C03-9A0F-CA8D22574984}"/>
    <dataValidation allowBlank="1" showInputMessage="1" showErrorMessage="1" promptTitle="FORMULA DIFERENTE" prompt="Calcula el deducible restante teniendo en cuenta el ingreso total del mes de diciembre." sqref="AD50" xr:uid="{5FC35AAE-B398-43DE-9A2F-B81A7A5CEE39}"/>
    <dataValidation allowBlank="1" showInputMessage="1" showErrorMessage="1" promptTitle="FORMULA DIFERENTE" prompt="Calcula la base gravable del ingreso mensualizado del mes de diciembre." sqref="AW50 AJ50" xr:uid="{80B185B2-A19A-406A-A285-0CC8334BA262}"/>
    <dataValidation allowBlank="1" showInputMessage="1" showErrorMessage="1" promptTitle="FORMULA DIFERENTE" prompt="Calcula el porcentaje que de como resultado la retención que falta por aplicar al pago teniendo en cuenta el ingreso total del mes de diciembre y deduciendo la retención aplicada en el pago anterior." sqref="AK50" xr:uid="{4EB848B1-E1A3-4B06-9333-AB7BF4302F24}"/>
    <dataValidation type="whole" operator="greaterThanOrEqual" allowBlank="1" showInputMessage="1" showErrorMessage="1" errorTitle="ERROR" error="No se permite el ingreso de una cantidad con centavos." promptTitle="INGRESE EL VALOR" prompt="Digite una cantidad SIN CENTAVOS." sqref="T38:T50" xr:uid="{288AF47B-827D-41D1-B292-CBAC83186332}">
      <formula1>0</formula1>
    </dataValidation>
    <dataValidation type="whole" operator="greaterThanOrEqual" allowBlank="1" showInputMessage="1" showErrorMessage="1" errorTitle="ERROR" error="No se permite el ingreso de una cantidad con centavos." promptTitle="AJUSTE EL IVA SI APLICA" prompt="Ajuste el IVA a como fue anotado en la factura. Sume o Reste 1 ó 2 pesos máximo. No ajuste el IVA con una cifra que tenga centavos." sqref="AP38:AP50" xr:uid="{AEE17A7B-117C-4CE6-8A15-37D96FBD3AA8}">
      <formula1>0</formula1>
    </dataValidation>
    <dataValidation allowBlank="1" showInputMessage="1" showErrorMessage="1" promptTitle="FORMULA DIFERENTE" prompt="Calcula la retención contingente del mes de diciembre que falta por reportar a la entidad financiera, sea esta positiva o negativa. Cuando el valor es negativo significa que deberá disminuirse la rtf contingente reportada en la 1a quincena." sqref="AY50" xr:uid="{3EA54328-C3C8-4377-8AB9-59D4BD72D687}"/>
    <dataValidation allowBlank="1" showInputMessage="1" showErrorMessage="1" promptTitle="ALERTA" prompt="El relleno color ROJO alerta cuando el liquidador calcula aportes sobre un IBC &gt; a 25 SMLMV y el relleno color AZUL alerta cuando calcula aportes sobre un IBC &lt; 1 SMLMV. Ambos casos deben revisarse para determinar si se ajusta o no la liquidación." sqref="W35 U36:V37" xr:uid="{E872AE3F-9D48-412A-B65D-7855FAED9F77}"/>
    <dataValidation allowBlank="1" showInputMessage="1" showErrorMessage="1" promptTitle="Art. 388 ET Numeral 2" prompt="Desde Mzo/16: La suma total de deducciones y rentas exentas no podrá superar el 40% del resultado de restar del monto del pago o abono en cuenta los ingresos no constitutivos de renta ni ganancia ocasional imputables." sqref="AH35:AH37" xr:uid="{1ACD1241-F3C7-4C09-9735-BC58C3BB970D}"/>
    <dataValidation allowBlank="1" showInputMessage="1" showErrorMessage="1" promptTitle="Art. 126-1 y 126-4 ET" prompt="Desde Mzo/16: Tendrán el carácter de rentas exentas las sumas que los contribuyentes personas naturales depositen en las cuentas AFC y APV que no excedan del 30% del ingreso laboral o tributario del año y hasta un monto máximo de 3.800 UVT por año." sqref="AD37" xr:uid="{9B7919C5-D659-4271-A928-A94ACAA51921}"/>
    <dataValidation allowBlank="1" showInputMessage="1" showErrorMessage="1" promptTitle="DIGITE EL TOTAL CERTIFICADO" prompt="Recuerde que si el certificado está a nombre del contratista y de otra persona más, divida el total entre 2 y anote el resultado." sqref="AB6 AB12:AC12" xr:uid="{B4F654F0-01BC-4508-A65E-BFF9F8447DDA}"/>
    <dataValidation type="whole" operator="greaterThan" allowBlank="1" showInputMessage="1" showErrorMessage="1" errorTitle="ERROR" error="Celda validada. Solo se permite el ingreso de números enteros mayores a cero (0)." promptTitle="DIGITE EL SALDO DEL CERTIFICADO" prompt="Digite el saldo del certificado que está pendiente por deducir de la base de retención. " sqref="AQ6 AC6" xr:uid="{3DAD07FE-7EC1-4167-9FEF-C7E0DA37112A}">
      <formula1>0</formula1>
    </dataValidation>
    <dataValidation type="whole" operator="greaterThan" allowBlank="1" showInputMessage="1" showErrorMessage="1" errorTitle="ERROR" error="Celda validada. Solo se permite el ingreso de números enteros mayores a cero (0)." promptTitle="DÍAS RESTANTES" prompt="Digite el número de días restantes a que corresponde el saldo anotado en la celda anterior." sqref="AC7" xr:uid="{E6DE9E58-2BDC-4A92-940C-361AB2B1E5D3}">
      <formula1>0</formula1>
    </dataValidation>
    <dataValidation type="whole" operator="greaterThan" allowBlank="1" showInputMessage="1" showErrorMessage="1" errorTitle="ERROR" error="Celda validada. Solo se permite el ingreso de números enteros mayores a cero (0)." promptTitle="DÍAS DEL CERTIFICADO" prompt="Digite el número de días a que corresponde el saldo anotado en la celda anterior." sqref="AB7 AB13:AC13" xr:uid="{A269F3C0-F6FA-43CF-BD6C-F4DF1B96E5B0}">
      <formula1>0</formula1>
    </dataValidation>
    <dataValidation allowBlank="1" showInputMessage="1" showErrorMessage="1" promptTitle="ALERTA" prompt="El relleno color FUCSIA alerta cuando no se ha ingresado la fecha, la cual se requiere para hacer cálculos. Favor ingresarla." sqref="AB4:AC4" xr:uid="{C10D95F5-F046-4B97-8FF7-F6210FBABFE9}"/>
    <dataValidation allowBlank="1" showInputMessage="1" showErrorMessage="1" promptTitle="AJUSTE EL VALOR SI APLICA" prompt="En caso de ajuste del valor de la celda, presione F2, introduzca el valor del ajuste y por último presione en el siguiente orden las 3 teclas: Shift Ctrl Enter." sqref="AB18:AC18" xr:uid="{F55CCEB8-D1A8-4BEA-B734-A9102A77E879}"/>
    <dataValidation type="custom" allowBlank="1" showInputMessage="1" showErrorMessage="1" errorTitle="ERROR" error="Celda validada. Solo se permite el ingreso de una fecha igual o mayor a la fecha anterior e igual o anterior al 15 de abril del año siguiente." promptTitle="FECHA LIMITE DEL BENEFICIO" prompt="Digite la fecha límite del beneficio: 1) Máximo hasta el 15 de abril del año siguiente; 2) hasta cuando el hijo cumpla la mayoría de edad y no se encuentre estudiando; 3) hasta la culminación del semestre certificado o; 4) hasta cumplir los 23 años." sqref="AG9:AG10" xr:uid="{2D3BC92B-0B14-4D89-9E54-C2F20801EF5C}">
      <formula1>AND(AG9&gt;=AG6,AG9&lt;=DATE($Y6+1,4,15))</formula1>
    </dataValidation>
    <dataValidation allowBlank="1" showInputMessage="1" showErrorMessage="1" promptTitle="INGRESOS NO CONSTITUTIVOS DE RTA" prompt="Los aportes obligatorios que efectúen los trabajadores, empleadores y afiliados al Sistema General de Seguridad Social en Pensiones y en Salud no harán parte de la base para aplicar la retención en la fuente por rentas de trabajo o salarios." sqref="U35:V35" xr:uid="{AB5AF370-4228-4D21-B5CB-4F1FE615E29E}"/>
    <dataValidation allowBlank="1" showInputMessage="1" showErrorMessage="1" promptTitle="VALORES ABSOLUTOS DE RETENCIÓN" prompt="No se emplea el procedimiento de aproximaciones establecido en el Art. 868 del ET y el numeral IV de la Circular DIAN 0009 del 17-01-2007, debido a que el SIIF calcula la retención aproximada a  pesos y no permite que el digitador la modifique." sqref="AL36:AL37" xr:uid="{F2178981-DCDA-43E9-8BD8-861DB6C839CD}"/>
    <dataValidation type="custom" allowBlank="1" showInputMessage="1" showErrorMessage="1" sqref="AT7:AU7" xr:uid="{12A1F12F-36D0-4416-9575-91A8DC6E202A}">
      <formula1>""</formula1>
    </dataValidation>
    <dataValidation allowBlank="1" showInputMessage="1" showErrorMessage="1" prompt="Calcula las retenciones practicadas de más al contratista en el mes de diciembre, mostrando únicamente las diferenicas superiores a $100." sqref="AJ52:AJ54" xr:uid="{DE80D105-829A-48ED-94E2-D00858C0CE2E}"/>
    <dataValidation type="list" allowBlank="1" showInputMessage="1" showErrorMessage="1" errorTitle="ERROR" error="No digite, solo seleccione una de las 2 opciones que se presentan en la lista desplegable." promptTitle="RESPONSABILIDAD DEL IVA" prompt="Seleccione SI únicamente cuando el contratista sea Responsable del IVA. Si el contrato tiene Certificado de Útilidad Común (Decreto 540 de 2004), es decir, está exento de impuestos (IVA), seleccione esta opción. " sqref="H13" xr:uid="{D029E287-A690-4672-82D4-EDA4CE0CCAA4}">
      <formula1>"No,Si,Útilidad Común"</formula1>
    </dataValidation>
    <dataValidation type="date" allowBlank="1" showInputMessage="1" showErrorMessage="1" errorTitle="ERROR" error="Solo se permite el ingreso de una fecha entre 01/01/1900 y el día de hoy." promptTitle="FECHA DE NACIMIENTO DEL HIJO" prompt="Favor ingrese la fecha de nacimiento del hijo dependiente para calcular su edad a la fecha de la solicitud, así: dd/mm/yy." sqref="AR16:AR17 AI11 AJ16:AK17" xr:uid="{783618A1-6D6C-4AF7-963B-7F9485F15C8F}">
      <formula1>1</formula1>
      <formula2>TODAY()</formula2>
    </dataValidation>
    <dataValidation type="date" allowBlank="1" showInputMessage="1" showErrorMessage="1" errorTitle="ERROR" error="Celda validada. Solo se permite el ingreso de una fecha del año del presente año." promptTitle="FECHA DEL RADICADO" prompt="Digite la fecha en la que el juzgado radicó la solicitud de deducción del año actual." sqref="AO12:AP12" xr:uid="{9BD6D0EB-5B27-457F-84AC-21B68CB0CC83}">
      <formula1>DATE($Y10,1,1)</formula1>
      <formula2>DATE($Y10,12,31)</formula2>
    </dataValidation>
    <dataValidation type="date" allowBlank="1" showInputMessage="1" showErrorMessage="1" errorTitle="ERROR" error="Celda validada. Solo se permite el ingreso de una fecha del año anterior " promptTitle="FECHA DEL RADICADO" prompt="Digite la fecha en la que el juzgado radicó la solicitud de deducción del año anterior." sqref="AO9:AQ9" xr:uid="{975F01B3-885B-48D5-8529-6B526A9F7B21}">
      <formula1>DATE($Y6,1,1)</formula1>
      <formula2>DATE($Y6,12,31)</formula2>
    </dataValidation>
    <dataValidation type="list" allowBlank="1" showInputMessage="1" showErrorMessage="1" errorTitle="ERROR" error="Solo se permiten ingresar determinados valores. Favor seleccione su tarifa de riesgo." promptTitle="SELECCIONE PORCENTAJE" prompt="Seleccione el porcentaje de la lista desplegable de acuerdo con lo establecido en el oficio del juzgado.-" sqref="AQ8 AO8 AO11 AQ11" xr:uid="{23772229-60CB-4D97-851C-AF3B92782CE5}">
      <formula1>"20%,30%"</formula1>
    </dataValidation>
    <dataValidation type="whole" operator="greaterThan" allowBlank="1" showInputMessage="1" showErrorMessage="1" errorTitle="ERROR" error="Celda validada. Solo se permite el ingreso de números enteros mayores a cero (0)." sqref="AO7" xr:uid="{92365A57-3AA5-4273-987C-6B06B57C47BB}">
      <formula1>0</formula1>
    </dataValidation>
    <dataValidation type="whole" operator="greaterThan" allowBlank="1" showInputMessage="1" showErrorMessage="1" errorTitle="ERROR" error="Celda validada. Solo se permite el ingreso de números enteros mayores a cero (0)." promptTitle="DIGITE EL LIMITE DEL PROCESO" prompt="Digite el límite de la medida cautelar establecido en el oficio del proceso " sqref="AO6 AO10 AQ10" xr:uid="{189C18BA-0BCD-45F3-9458-CF0090905AF5}">
      <formula1>0</formula1>
    </dataValidation>
    <dataValidation type="date" allowBlank="1" showInputMessage="1" showErrorMessage="1" errorTitle="ERROR" error="Celda validada. Solo se permite el ingreso de una fecha del presente año." promptTitle="FECHA DEL RADICADO" prompt="Digite la fecha en la que el juzgado radicó la solicitud de deducción del año actual." sqref="AQ12" xr:uid="{019D9CB9-80C8-4ECD-8C44-E710534826E1}">
      <formula1>DATE($Y10,1,1)</formula1>
      <formula2>DATE($Y10,12,31)</formula2>
    </dataValidation>
    <dataValidation type="whole" operator="greaterThanOrEqual" allowBlank="1" showInputMessage="1" showErrorMessage="1" errorTitle="ERROR" error="Celda validada. Solo se permite el ingreso de números enteros mayores a cero (0)." sqref="AQ7" xr:uid="{E12AA481-BA62-4543-9EED-2347E11D9E47}">
      <formula1>0</formula1>
    </dataValidation>
    <dataValidation allowBlank="1" showInputMessage="1" showErrorMessage="1" promptTitle="APROXIMACIÓN DE APORTES" prompt="Hasta Feb/16: El valor de los aportes liquidados debe aproximarse al múltiplo de 100 más cercano. La fracción &lt;= a 50 se deducirá (Art. 10 Decreto 1406/99). Desde Mzo/16: deberá aproximarse al múltiplo de 100 superior más cercano (Art. 1 Decreto 1990/16)." sqref="H35" xr:uid="{F2A5A13B-CE84-4F38-99DB-6D4FC33514C0}"/>
    <dataValidation type="list" allowBlank="1" showInputMessage="1" showErrorMessage="1" errorTitle="ERROR" error="Celda validada. Solo se permite el ingreso de los valores que aparecen en la lista desplegable." promptTitle="SELECCIONE TARIFA" prompt="Seleccione la tarifa que corresponda a la actividad ecónomica relacionada con el objeto contractual. En caso de no informar debidamente la actividad seleccione la tarifa máxima." sqref="AN38:AN50" xr:uid="{DA5A4A3F-1CBB-45BC-AE0C-33C09955E080}">
      <mc:AlternateContent xmlns:x12ac="http://schemas.microsoft.com/office/spreadsheetml/2011/1/ac" xmlns:mc="http://schemas.openxmlformats.org/markup-compatibility/2006">
        <mc:Choice Requires="x12ac">
          <x12ac:list>"0,414%","0,690%","0,966%","1,104%","1,380%","0,766%","0,866%"</x12ac:list>
        </mc:Choice>
        <mc:Fallback>
          <formula1>"0,414%,0,690%,0,966%,1,104%,1,380%,0,766%,0,866%"</formula1>
        </mc:Fallback>
      </mc:AlternateContent>
    </dataValidation>
    <dataValidation type="date" allowBlank="1" showInputMessage="1" showErrorMessage="1" errorTitle="Fecha de Registro Contable" error="Asegurate que la fecha escrita corresponde al año 2022" sqref="R50" xr:uid="{A347A923-4A46-4A58-BB75-3A30AF41F753}">
      <formula1>44927</formula1>
      <formula2>45291</formula2>
    </dataValidation>
    <dataValidation allowBlank="1" showInputMessage="1" showErrorMessage="1" errorTitle="ERROR" error="Solo se permiten ingresar determinados valores. Favor seleccione su tarifa de riesgo." promptTitle="SELECCIONE PORCENTAJE" prompt="Seleccione el porcentaje de la lista desplegable de acuerdo con lo establecido en el oficio del juzgado.-" sqref="AP8 AP11" xr:uid="{BC900A61-125C-44B3-A5E9-C48A0B83CFD3}"/>
    <dataValidation type="list" allowBlank="1" showInputMessage="1" showErrorMessage="1" sqref="AH10" xr:uid="{14B5EF53-0EEE-43D2-8EC7-196C1438F605}">
      <formula1>"RC, TI, CC"</formula1>
    </dataValidation>
    <dataValidation type="list" allowBlank="1" showInputMessage="1" showErrorMessage="1" errorTitle="ERROR" error="No digite, solo seleccione una de las 2 opciones que se presentan en la lista desplegable." promptTitle="SELECCIONE SI O NO" prompt="Seleccione SI si el contratista factura, de lo contrario seleccione NO." sqref="H15:J15" xr:uid="{4EC56545-FD08-4A62-B4E1-BA5D8D6D687B}">
      <formula1>"Si,No"</formula1>
    </dataValidation>
    <dataValidation type="date" allowBlank="1" showInputMessage="1" showErrorMessage="1" errorTitle="Fecha de Registro Contable" error="Asegurate que la fecha escrita corresponde al año 2026" sqref="R38:R49" xr:uid="{C1AB1D63-6EC6-431B-92BF-07BBCB2A57BE}">
      <formula1>46023</formula1>
      <formula2>46387</formula2>
    </dataValidation>
    <dataValidation type="date" operator="greaterThanOrEqual" allowBlank="1" showInputMessage="1" showErrorMessage="1" errorTitle="ERROR" error="Celda validada. Solo se permite el ingreso de una fecha superior o igual al 1 de enero de 2013." promptTitle="FECHA INICIAL DD-MMM-AA" prompt="Digite la fecha de aprobación de la póliza, en caso de que esta no sea requerida en el contrato, digite la fecha de perfeccionamiento del contrato." sqref="H19:J19" xr:uid="{ABB61FC7-BCF2-4128-AB57-3B0B00A7F4B6}">
      <formula1>45658</formula1>
    </dataValidation>
    <dataValidation type="custom" errorStyle="information" allowBlank="1" showInputMessage="1" showErrorMessage="1" errorTitle="ERROR" promptTitle="AÑO ANTERIOR" sqref="AS5" xr:uid="{F276307A-D563-4E0B-948A-56DA59FFAA4A}">
      <formula1>AS4+1</formula1>
    </dataValidation>
    <dataValidation type="list" allowBlank="1" showInputMessage="1" showErrorMessage="1" errorTitle="ERROR" error="No digite, solo seleccione una de las 2 opciones que se presentan en la lista desplegable." promptTitle="SELECCIONE SI O NO" prompt="Seleccione SI si el contratista pertenece al REGIMEN SIMPLE DE TRIBUTACION, de lo contrario seleccione NO._x000a_" sqref="H14:J14" xr:uid="{6DAF189F-8514-4A04-B10B-7C806424E254}">
      <formula1>"Si,No"</formula1>
    </dataValidation>
    <dataValidation type="date" allowBlank="1" showInputMessage="1" showErrorMessage="1" errorTitle="ERROR" error="Celda validada. Solo se permite el ingreso de una fecha del año actual." promptTitle="FECHA DEL RADICADO" prompt="Digite la fecha en la que el contratista radicó la solicitud de deducción el año actual." sqref="AG16" xr:uid="{B619CFFD-8083-4940-81C0-87AD44CEAD03}">
      <formula1>DATE($Y12,1,1)</formula1>
      <formula2>DATE($Y12,12,31)</formula2>
    </dataValidation>
    <dataValidation type="whole" operator="greaterThan" allowBlank="1" showInputMessage="1" showErrorMessage="1" errorTitle="ERROR" error="Celda validada. Solo se permite el ingreso de números enteros mayores a cero (0)." promptTitle="VALOR MENSUAL DEL CONTRATO" prompt="Digite el valor de la mensualidad pactada en el contrato." sqref="H17:J17" xr:uid="{54161D98-313E-49BD-8DF6-F0815F71E809}">
      <formula1>0</formula1>
    </dataValidation>
    <dataValidation showDropDown="1" showInputMessage="1" showErrorMessage="1" errorTitle="ERROR" error="No digite, solo seleccione una de las opciones que se presentan en la lista desplegable." promptTitle="RUBRO PRESUPUESTAL" prompt="Seleccione de la lista despleglabe el RUBRO presupuestal establecido en el RP" sqref="D28:E29 F28:J28" xr:uid="{1846EA3F-86D3-4C82-BE94-092F5B1E83EF}"/>
    <dataValidation type="date" allowBlank="1" showInputMessage="1" showErrorMessage="1" errorTitle="ERROR" error="Celda validada. Solo se permite el ingreso de una fecha del año anterior o hasta el 15 de abril del presente año." promptTitle="FECHA DEL RADICADO" prompt="Digite la fecha en la que el contratista radicó la solicitud de deducción del año anterior." sqref="AC8" xr:uid="{1E3C9A5D-2CFB-480C-B52F-F57F3DF61C5C}">
      <formula1>DATE($Y6,1,1)</formula1>
      <formula2>DATE($Y6+1,4,15)</formula2>
    </dataValidation>
    <dataValidation allowBlank="1" showErrorMessage="1" errorTitle="ERROR" error="No digite, solo seleccione una de las 2 opciones que se presentan en la lista desplegable." promptTitle="SELECCIONE" prompt="Seleccione la opción correspondiente:_x000a_A: Si el liquidador es del contratista CEDENTE_x000a_De: Si el liquidador es del contratista CESIONARIO_x000a_" sqref="E9:E11" xr:uid="{42D3C00E-DCD7-41D3-9F42-13924269E9C3}"/>
    <dataValidation type="date" allowBlank="1" showInputMessage="1" showErrorMessage="1" errorTitle="ERROR" error="Celda validada. Solo se permite el ingreso de una fecha del año anterior." promptTitle="FECHA DEL RADICADO" prompt="Digite la fecha en la que el contratista radicó la solicitud de deducción el año anterior." sqref="AG6:AG8" xr:uid="{E5B9E02F-B3E7-4531-A64C-8F0D297D6A80}">
      <formula1>DATE($Y6,1,1)</formula1>
      <formula2>DATE($Y6,12,31)</formula2>
    </dataValidation>
    <dataValidation allowBlank="1" showInputMessage="1" showErrorMessage="1" promptTitle="Art. 206 ET Numeral 10" prompt="El cálculo del 25% del valor total de los pagos laborales, limitada mensualmente a 240 UVT se efectúa una vez se detraigan  los ingresos no constitutivos de renta, las deducciones y las demás rentas exentas diferentes a la establecida en este numeral." sqref="AE36:AG36" xr:uid="{A23F0E81-3D67-4268-AD2E-7DDE42FB03EC}"/>
    <dataValidation type="date" allowBlank="1" showInputMessage="1" showErrorMessage="1" errorTitle="ERROR" error="Celda validada. Solo se permite el ingreso de una fecha del año actual." promptTitle="FECHA DEL RADICADO" prompt="Digite la fecha en la que el contratista radicó la solicitud de deducción el año actual." sqref="AG12" xr:uid="{DEF3722B-BD94-43BE-B78B-278EEE7223EB}">
      <formula1>DATE($Y12,1,1)</formula1>
      <formula2>DATE($Y12,12,31)</formula2>
    </dataValidation>
    <dataValidation type="date" allowBlank="1" showInputMessage="1" showErrorMessage="1" errorTitle="ERROR" error="Celda validada. Solo se permite el ingreso de una fecha del año anterior o hasta el 15 de abril del presente año." promptTitle="FECHA DEL RADICADO" prompt="Digite la fecha en la que el contratista radicó la solicitud de deducción del año actual." sqref="AO14:AP14" xr:uid="{26279F0D-7666-4DEB-9812-7D94F2F5FAD1}">
      <formula1>DATE(#REF!,1,1)</formula1>
      <formula2>DATE(#REF!+1,4,15)</formula2>
    </dataValidation>
    <dataValidation type="date" allowBlank="1" showInputMessage="1" showErrorMessage="1" errorTitle="ERROR" error="Celda validada. Solo se permite el ingreso de una fecha del año anterior o hasta el 15 de abril del presente año." promptTitle="TOTAL RETENIDO" prompt="Digite el total retenido por embargos en el año anterior" sqref="AQ13" xr:uid="{E0EE74C9-AF82-464A-8174-0A4CEC14802C}">
      <formula1>DATE($Y14,1,1)</formula1>
      <formula2>DATE($Y14+1,4,15)</formula2>
    </dataValidation>
    <dataValidation type="date" allowBlank="1" showInputMessage="1" showErrorMessage="1" errorTitle="ERROR" error="Celda validada. Solo se permite el ingreso de una fecha del año anterior o hasta el 15 de abril del presente año." promptTitle="TOTAL RETENIDO" prompt="Digite el total retenido por embargos en el año anterior" sqref="AQ14" xr:uid="{4A0BE938-D44E-4697-A577-9B83908CA939}">
      <formula1>DATE(#REF!,1,1)</formula1>
      <formula2>DATE(#REF!+1,4,15)</formula2>
    </dataValidation>
    <dataValidation type="custom" allowBlank="1" showInputMessage="1" showErrorMessage="1" errorTitle="ERROR" error="Celda validada. Solo se permite el ingreso de una fecha igual o mayor a la fecha anterior e igual o anterior al 15 de abril del año siguiente." promptTitle="FECHA LIMITE DEL BENEFICIO" prompt="Digite la fecha límite del beneficio: 1) Máximo hasta el 15 de abril del año siguiente; 2) hasta cuando el hijo cumpla la mayoría de edad y no se encuentre estudiando; 3) hasta la culminación del semestre certificado o; 4) hasta cumplir los 23 años." sqref="AG18" xr:uid="{E4957CC0-730C-4C19-92CD-4A640741A8CC}">
      <formula1>AND(AG18&gt;=AG16,AG18&lt;=DATE($Y12+1,4,15))</formula1>
    </dataValidation>
    <dataValidation type="custom" allowBlank="1" showInputMessage="1" showErrorMessage="1" errorTitle="ERROR" error="Celda validada. Solo se permite el ingreso de una fecha igual o mayor a la fecha anterior e igual o anterior al 15 de abril del año siguiente." promptTitle="FECHA LIMITE DEL BENEFICIO" prompt="Digite la fecha límite del beneficio: 1) Máximo hasta el 15 de abril del año siguiente; 2) hasta cuando el hijo cumpla la mayoría de edad y no se encuentre estudiando; 3) hasta la culminación del semestre certificado o; 4) hasta cumplir los 23 años." sqref="AG19" xr:uid="{D1EACEF4-DD47-4159-9FF3-C145F2440AF4}">
      <formula1>AND(AG19&gt;=AG17,AG19&lt;=DATE($Y14+1,4,15))</formula1>
    </dataValidation>
    <dataValidation type="date" allowBlank="1" showInputMessage="1" showErrorMessage="1" errorTitle="ERROR" error="Celda validada. Solo se permite el ingreso de una fecha del año anterior o hasta el 15 de abril del presente año." promptTitle="FECHA DEL RADICADO" prompt="Digite la fecha en la que el contratista radicó la solicitud de deducción del año actual." sqref="AO13:AP13" xr:uid="{D8635D10-CF53-4E1E-AB38-F266BE2D3005}">
      <formula1>DATE($Y14,1,1)</formula1>
      <formula2>DATE($Y14+1,4,15)</formula2>
    </dataValidation>
    <dataValidation type="whole" allowBlank="1" showInputMessage="1" showErrorMessage="1" errorTitle="ERROR" error="No se permite el ingreso de una cantidad mayor al valor del pago o con centavos." promptTitle="INGRESE EL VALOR" prompt="Digite una cantidad SIN CENTAVOS." sqref="AC38:AC50" xr:uid="{FE02B9DD-0FE8-4945-A53A-4299F9A8A681}">
      <formula1>0</formula1>
      <formula2>T38+AP38</formula2>
    </dataValidation>
    <dataValidation type="list" allowBlank="1" showInputMessage="1" showErrorMessage="1" error="No digite, solo seleccione una de las opciones que se presentan en la lista desplegable." sqref="P38:P50" xr:uid="{C4D91D85-1E4A-4041-B414-45D365B64C58}">
      <formula1>$AV$5:$AV$20</formula1>
    </dataValidation>
    <dataValidation allowBlank="1" showInputMessage="1" showErrorMessage="1" promptTitle="ALERTA" prompt="El relleno color FUCSIA alerta cuando se ha ingresado el Valor del Pago y NO se ha registrado el aporte correspondiente." sqref="BA36:BC37" xr:uid="{B285F412-2DBE-4FA7-8C7D-2B38830CFB9F}"/>
    <dataValidation type="list" allowBlank="1" showInputMessage="1" showErrorMessage="1" errorTitle="ERROR" error="No digite, solo seleccione una de las opciones que se presentan en la lista desplegable." promptTitle="USO PRESUPUESTAL" prompt="Seleccione de la lista despleglabe el uso presupuestal acorde con el objeto establecido en el contrato.-" sqref="D30" xr:uid="{E89B3949-4421-419A-B029-191CE8719702}">
      <formula1>$BV$5:$BV$30</formula1>
    </dataValidation>
    <dataValidation type="date" allowBlank="1" showInputMessage="1" showErrorMessage="1" errorTitle="ERROR" error="Celda validada. Solo se permite el ingreso de una fecha del año anterior o hasta el 15 de abril del presente año." promptTitle="FECHA DEL RADICADO" prompt="Digite la fecha en la que el contratista radicó la solicitud de deducción del año actual." sqref="AB14:AC14 AB8" xr:uid="{ADB3656F-36A5-4AFD-B9EF-D74A7A24EC12}">
      <formula1>DATE($W6,1,1)</formula1>
      <formula2>DATE($W6+1,4,15)</formula2>
    </dataValidation>
    <dataValidation allowBlank="1" showInputMessage="1" showErrorMessage="1" promptTitle="AÑO ANTERIOR" prompt="Digite el año anterior en el que se suscribió el contrato." sqref="BT5:BT66" xr:uid="{1E6268F8-90B6-42D5-AD31-88D43B7122FE}"/>
    <dataValidation type="custom" allowBlank="1" showInputMessage="1" showErrorMessage="1" errorTitle="ERROR" error="Celda validada. Solo se permite el ingreso de una fecha igual o mayor a la fecha anterior e igual o anterior al 15 de abril del año siguiente." promptTitle="FECHA LIMITE DEL BENEFICIO" prompt="Digite la fecha límite del beneficio: 1) Máximo hasta el 15 de abril del año siguiente; 2) hasta cuando el hijo cumpla la mayoría de edad y no se encuentre estudiando; 3) hasta la culminación del semestre certificado o; 4) hasta cumplir los 23 años." sqref="AG14:AG15" xr:uid="{D3B1FCD1-DEBF-4A6B-8CFF-70B1564C3899}">
      <formula1>AND(AG14&gt;=AG12,AG14&lt;=DATE(2027,4,15))</formula1>
    </dataValidation>
  </dataValidations>
  <printOptions horizontalCentered="1"/>
  <pageMargins left="0.19685039370078741" right="0.19685039370078741" top="0.59055118110236227" bottom="0.39370078740157483" header="0.19685039370078741" footer="0.19685039370078741"/>
  <pageSetup paperSize="14" scale="85" orientation="landscape" r:id="rId2"/>
  <headerFooter>
    <oddHeader>&amp;RPágina &amp;P de &amp;N
&amp;D  &amp;T</oddHeader>
    <oddFooter>&amp;F</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6A0E6D3CEEDDB4C85CBC327B8DBCCC5" ma:contentTypeVersion="5" ma:contentTypeDescription="Create a new document." ma:contentTypeScope="" ma:versionID="1985e82e080d7bde8103446f853fb4f5">
  <xsd:schema xmlns:xsd="http://www.w3.org/2001/XMLSchema" xmlns:xs="http://www.w3.org/2001/XMLSchema" xmlns:p="http://schemas.microsoft.com/office/2006/metadata/properties" xmlns:ns3="4385a8a5-c826-41f9-bfe9-5fefa7ff7460" targetNamespace="http://schemas.microsoft.com/office/2006/metadata/properties" ma:root="true" ma:fieldsID="7468aef5a4b674810dc2c39b51d77dc3" ns3:_="">
    <xsd:import namespace="4385a8a5-c826-41f9-bfe9-5fefa7ff7460"/>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85a8a5-c826-41f9-bfe9-5fefa7ff74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CBC204-5F04-4930-AAE1-C95B3D3C657A}">
  <ds:schemaRefs>
    <ds:schemaRef ds:uri="http://schemas.microsoft.com/sharepoint/v3/contenttype/forms"/>
  </ds:schemaRefs>
</ds:datastoreItem>
</file>

<file path=customXml/itemProps2.xml><?xml version="1.0" encoding="utf-8"?>
<ds:datastoreItem xmlns:ds="http://schemas.openxmlformats.org/officeDocument/2006/customXml" ds:itemID="{20E39D1D-6439-4432-9DBD-676744749D5B}">
  <ds:schemaRefs>
    <ds:schemaRef ds:uri="http://schemas.microsoft.com/office/2006/documentManagement/types"/>
    <ds:schemaRef ds:uri="4385a8a5-c826-41f9-bfe9-5fefa7ff7460"/>
    <ds:schemaRef ds:uri="http://schemas.openxmlformats.org/package/2006/metadata/core-properties"/>
    <ds:schemaRef ds:uri="http://purl.org/dc/dcmitype/"/>
    <ds:schemaRef ds:uri="http://purl.org/dc/terms/"/>
    <ds:schemaRef ds:uri="http://schemas.microsoft.com/office/2006/metadata/properties"/>
    <ds:schemaRef ds:uri="http://schemas.microsoft.com/office/infopath/2007/PartnerControls"/>
    <ds:schemaRef ds:uri="http://purl.org/dc/elements/1.1/"/>
    <ds:schemaRef ds:uri="http://www.w3.org/XML/1998/namespace"/>
  </ds:schemaRefs>
</ds:datastoreItem>
</file>

<file path=customXml/itemProps3.xml><?xml version="1.0" encoding="utf-8"?>
<ds:datastoreItem xmlns:ds="http://schemas.openxmlformats.org/officeDocument/2006/customXml" ds:itemID="{ACBC6496-BC7E-4181-A81E-45D054FC26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85a8a5-c826-41f9-bfe9-5fefa7ff74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RT-Cto1</vt:lpstr>
      <vt:lpstr>'RT-Cto1'!Área_de_impresión</vt:lpstr>
      <vt:lpstr>'RT-Cto1'!Títulos_a_imprimir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Janneth Laserna Rios</dc:creator>
  <cp:lastModifiedBy>Sandra Janneth Laserna Rios</cp:lastModifiedBy>
  <cp:lastPrinted>2017-02-27T16:29:28Z</cp:lastPrinted>
  <dcterms:created xsi:type="dcterms:W3CDTF">2013-01-10T14:37:31Z</dcterms:created>
  <dcterms:modified xsi:type="dcterms:W3CDTF">2026-04-30T17:13:38Z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0x010100B6A0E6D3CEEDDB4C85CBC327B8DBCCC5</vt:lpwstr>
  </property>
</Properties>
</file>